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rkle/Downloads/"/>
    </mc:Choice>
  </mc:AlternateContent>
  <xr:revisionPtr revIDLastSave="0" documentId="8_{7EAC1DF0-DFDD-EE45-BD54-9016D04B8578}" xr6:coauthVersionLast="47" xr6:coauthVersionMax="47" xr10:uidLastSave="{00000000-0000-0000-0000-000000000000}"/>
  <bookViews>
    <workbookView xWindow="780" yWindow="1000" windowWidth="27640" windowHeight="16440" xr2:uid="{F18C91C4-2641-6542-A82F-CA70800AC5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78" i="1" l="1"/>
  <c r="A177" i="1"/>
  <c r="A176" i="1"/>
  <c r="A175" i="1"/>
  <c r="A174" i="1"/>
  <c r="A173" i="1"/>
  <c r="A172" i="1"/>
  <c r="A170" i="1"/>
  <c r="A169" i="1"/>
  <c r="A168" i="1"/>
  <c r="A167" i="1"/>
  <c r="A166" i="1"/>
  <c r="A165" i="1"/>
  <c r="A164" i="1"/>
  <c r="A163" i="1"/>
  <c r="A161" i="1"/>
  <c r="A160" i="1"/>
  <c r="A159" i="1"/>
  <c r="A158" i="1"/>
  <c r="A157" i="1"/>
  <c r="A156" i="1"/>
  <c r="A155" i="1"/>
  <c r="A153" i="1"/>
  <c r="A152" i="1"/>
  <c r="A151" i="1"/>
  <c r="A150" i="1"/>
  <c r="A148" i="1"/>
  <c r="A147" i="1"/>
  <c r="A146" i="1"/>
  <c r="A145" i="1"/>
  <c r="A143" i="1"/>
  <c r="A142" i="1"/>
  <c r="A141" i="1"/>
  <c r="A140" i="1"/>
  <c r="A137" i="1"/>
  <c r="A136" i="1"/>
  <c r="A135" i="1"/>
  <c r="I134" i="1"/>
  <c r="A134" i="1"/>
  <c r="I133" i="1"/>
  <c r="A133" i="1"/>
  <c r="I132" i="1"/>
  <c r="A132" i="1"/>
  <c r="I131" i="1"/>
  <c r="A131" i="1"/>
  <c r="I130" i="1"/>
  <c r="A130" i="1"/>
  <c r="I129" i="1"/>
  <c r="A129" i="1"/>
  <c r="I128" i="1"/>
  <c r="A128" i="1"/>
  <c r="I127" i="1"/>
  <c r="A127" i="1"/>
  <c r="A125" i="1"/>
  <c r="A124" i="1"/>
  <c r="I123" i="1"/>
  <c r="A123" i="1"/>
  <c r="I122" i="1"/>
  <c r="A122" i="1"/>
  <c r="I121" i="1"/>
  <c r="A121" i="1"/>
  <c r="I120" i="1"/>
  <c r="A120" i="1"/>
  <c r="I119" i="1"/>
  <c r="A119" i="1"/>
  <c r="I118" i="1"/>
  <c r="A118" i="1"/>
  <c r="A117" i="1"/>
  <c r="A116" i="1"/>
  <c r="A115" i="1"/>
  <c r="A114" i="1"/>
  <c r="A113" i="1"/>
  <c r="A112" i="1"/>
  <c r="A111" i="1"/>
  <c r="A110" i="1"/>
  <c r="A108" i="1"/>
  <c r="A107" i="1"/>
  <c r="A106" i="1"/>
  <c r="A105" i="1"/>
  <c r="A104" i="1"/>
  <c r="A103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5" i="1"/>
  <c r="A84" i="1"/>
  <c r="A83" i="1"/>
  <c r="A82" i="1"/>
  <c r="A81" i="1"/>
  <c r="A80" i="1"/>
  <c r="A79" i="1"/>
  <c r="A78" i="1"/>
  <c r="A76" i="1"/>
  <c r="A75" i="1"/>
  <c r="A73" i="1"/>
  <c r="A72" i="1"/>
  <c r="A71" i="1"/>
  <c r="A70" i="1"/>
  <c r="A69" i="1"/>
  <c r="A68" i="1"/>
  <c r="A67" i="1"/>
  <c r="A66" i="1"/>
  <c r="A65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36" i="1"/>
  <c r="A35" i="1"/>
  <c r="A34" i="1"/>
  <c r="A33" i="1"/>
  <c r="A32" i="1"/>
  <c r="A31" i="1"/>
  <c r="A28" i="1"/>
  <c r="A27" i="1"/>
  <c r="A26" i="1"/>
  <c r="A25" i="1"/>
  <c r="A23" i="1"/>
  <c r="A22" i="1"/>
  <c r="A21" i="1"/>
  <c r="A20" i="1"/>
  <c r="A19" i="1"/>
  <c r="A18" i="1"/>
  <c r="A17" i="1"/>
  <c r="A14" i="1"/>
  <c r="A13" i="1"/>
  <c r="A12" i="1"/>
  <c r="A11" i="1"/>
  <c r="A10" i="1"/>
  <c r="A9" i="1"/>
  <c r="A8" i="1"/>
  <c r="A7" i="1"/>
  <c r="A6" i="1"/>
  <c r="A5" i="1"/>
</calcChain>
</file>

<file path=xl/sharedStrings.xml><?xml version="1.0" encoding="utf-8"?>
<sst xmlns="http://schemas.openxmlformats.org/spreadsheetml/2006/main" count="484" uniqueCount="272">
  <si>
    <t>STT</t>
  </si>
  <si>
    <t>MÃ SỐ</t>
  </si>
  <si>
    <t>Hạng mục
Category</t>
  </si>
  <si>
    <t>Kích thước (mm)</t>
  </si>
  <si>
    <t>ĐVT</t>
  </si>
  <si>
    <t>HS/SL</t>
  </si>
  <si>
    <t>Đơn giá cost</t>
  </si>
  <si>
    <t>Đơn giá đề xuất</t>
  </si>
  <si>
    <t>Ghi chú</t>
  </si>
  <si>
    <t>D</t>
  </si>
  <si>
    <t>S</t>
  </si>
  <si>
    <t>C</t>
  </si>
  <si>
    <t>A</t>
  </si>
  <si>
    <t>CÔNG TÁC CHUẨN BỊ</t>
  </si>
  <si>
    <t>I</t>
  </si>
  <si>
    <t>Chuẩn bị</t>
  </si>
  <si>
    <t>Xin phép xây dựng</t>
  </si>
  <si>
    <t>gói</t>
  </si>
  <si>
    <t>Phụ thuộc vào quy mô, vị trí xây dựng</t>
  </si>
  <si>
    <t>Định vị ranh đất</t>
  </si>
  <si>
    <t>điểm</t>
  </si>
  <si>
    <t>Dịch vụ</t>
  </si>
  <si>
    <t>Xin cấp đồng hồ điện</t>
  </si>
  <si>
    <t>Xin cấp đồng hồ nước</t>
  </si>
  <si>
    <t>Tháo dỡ, múc móng nhà cũ, hút hầm phân</t>
  </si>
  <si>
    <t>Hàng rào tạm</t>
  </si>
  <si>
    <t>m</t>
  </si>
  <si>
    <t>Hàng rào tole phẳng</t>
  </si>
  <si>
    <t>Cổng công trình</t>
  </si>
  <si>
    <t>cái</t>
  </si>
  <si>
    <t>Cửa cổng sắt ốp tole, xếp trượt</t>
  </si>
  <si>
    <t>Nhà vệ sinh tạm</t>
  </si>
  <si>
    <t>Nhà vệ sinh di động + bồn cầu + vòi nước</t>
  </si>
  <si>
    <t>Tủ điện tạm</t>
  </si>
  <si>
    <t>Tủ điện, MCB chống giật, ổ cắm</t>
  </si>
  <si>
    <t>Khoan khảo sát địa chất</t>
  </si>
  <si>
    <t>Đất cấp I-II-III, độ sâu hố khoan 30-40m, bao gồm thí nghiệm xuyên tiêu chuẩn SPT 
Không bao gồm thí nghiệm 9 chỉ tiêu cơ lý đất và thí nghiệm nén 3 trục</t>
  </si>
  <si>
    <t>B</t>
  </si>
  <si>
    <t>ÉP CỌC / BPTC HẦM</t>
  </si>
  <si>
    <t>Ép cọc</t>
  </si>
  <si>
    <t>Ép cọc BTCT 250x250, m300, tải 70T</t>
  </si>
  <si>
    <t>Nhân công ép cọc BTCT tải 70T</t>
  </si>
  <si>
    <t>Đơn giá cho trên 20m/tim cọc (tùy địa chất khu vực)</t>
  </si>
  <si>
    <t>Nhân công ép cọc BTCT</t>
  </si>
  <si>
    <t>tim</t>
  </si>
  <si>
    <t>Đơn giá cho dưới 20m/tim cọc (tùy địa chất khu vực)</t>
  </si>
  <si>
    <t>Vận chuyển cọc trong hẻm nhỏ, hoặc hẻm cấm tải</t>
  </si>
  <si>
    <t>Tăng bo, đẩy tay vào công trình (tùy thuộc vào chiều dài tuyến đường)</t>
  </si>
  <si>
    <t>Ép cọc ly tâm A300, PHC, tải 100T</t>
  </si>
  <si>
    <t>Nhân công ép cọc ly tâm</t>
  </si>
  <si>
    <t>II</t>
  </si>
  <si>
    <t>Biện pháp thi công hầm</t>
  </si>
  <si>
    <t>Ép cừ C200, cừ dài 4,5m (1 hệ shoring)</t>
  </si>
  <si>
    <t xml:space="preserve"> Khối lượng tính theo chu vi hầm</t>
  </si>
  <si>
    <t>Đào đất hầm</t>
  </si>
  <si>
    <t>m3</t>
  </si>
  <si>
    <t>Nằm trong đơn giá thi công thô, không tính riêng</t>
  </si>
  <si>
    <t>Cọc vây biện pháp D300 (cọc khoan nhồi)</t>
  </si>
  <si>
    <t>Thi công trong trường hợp không ép cừ C, khoan cọc theo chu vi hầm</t>
  </si>
  <si>
    <t>Vận chuyển bùn đất đi đổ</t>
  </si>
  <si>
    <t>Bùn đất trong quá trình khoan cọc nhồi</t>
  </si>
  <si>
    <t>XÂY DỰNG THÔ THEO M2</t>
  </si>
  <si>
    <t>Đơn giá xây dựng thô</t>
  </si>
  <si>
    <t>Không bao gồm nhân công hoàn thiện + MEP âm</t>
  </si>
  <si>
    <t xml:space="preserve">Xây dựng thô </t>
  </si>
  <si>
    <t>m2</t>
  </si>
  <si>
    <t>Nhà phố chiều ngang 4m - 6m, hoàn thiện 2 mặt trước sau, đường trên 3m</t>
  </si>
  <si>
    <t>Nhà phố chiều ngang 6m - 8m, hoàn thiện 2 mặt trước sau, đường trên 3m</t>
  </si>
  <si>
    <t>Nhà phố chiều ngang 4m - 6m, hoàn thiện 3 - 4 mặt, đường trên 3m</t>
  </si>
  <si>
    <t>Nhà phố chiều ngang 6m - 8m, hoàn thiện 3-  4 mặt, đường trên 3m</t>
  </si>
  <si>
    <t xml:space="preserve">Xây dựng trong hẻm nhỏ </t>
  </si>
  <si>
    <t>ĐGXD + 450.000/m2</t>
  </si>
  <si>
    <t>Hẻm nhỏ 2m - 2,5m, vận chuyển bằng xe ba gác hoặc hẻm cấm tải</t>
  </si>
  <si>
    <t xml:space="preserve">Nhân công hoàn thiện </t>
  </si>
  <si>
    <t>Đơn giá MEP âm</t>
  </si>
  <si>
    <t>Không bao gồm nhân công lắp đặt thiết bị</t>
  </si>
  <si>
    <t>Thi công MEP phần âm</t>
  </si>
  <si>
    <t>Không bao gồm hệ thống camera, điện lạnh, mạng Lan văn phòng, chống sét, đấu nối hệ thống thoát nước ra cống chung</t>
  </si>
  <si>
    <t>Nhân công hoàn thiện MEP</t>
  </si>
  <si>
    <t>ĐGMEP + 200.000/m2</t>
  </si>
  <si>
    <t>Nhân công lắp đặt thiết bị điện, đèn chiếu sáng, thiết bị nước, thiết bị vệ sinh</t>
  </si>
  <si>
    <t>III</t>
  </si>
  <si>
    <t>Hệ số tính diện tích</t>
  </si>
  <si>
    <t>Móng đơn + đà kiềng</t>
  </si>
  <si>
    <t>Móng cọc + giằng móng</t>
  </si>
  <si>
    <t>Móng băng 1 phương</t>
  </si>
  <si>
    <t>Móng băng 2 phương</t>
  </si>
  <si>
    <t>Móng bè</t>
  </si>
  <si>
    <t>Hố pit thang máy</t>
  </si>
  <si>
    <t>Hầm sâu 1 - 1,3m tính từ vỉa hè</t>
  </si>
  <si>
    <t>Hầm sâu 1.3m - 1,7m tính từ vỉa hè</t>
  </si>
  <si>
    <t>Hầm sâu 1.7m - 2m tính từ vỉa hè</t>
  </si>
  <si>
    <t>Hầm sâu 2m - 2,5m tính từ vỉa hè</t>
  </si>
  <si>
    <t>Tầng 1</t>
  </si>
  <si>
    <t>Sân trước, sân sau</t>
  </si>
  <si>
    <t>Sân vườn</t>
  </si>
  <si>
    <t>Tầng lửng</t>
  </si>
  <si>
    <t>Diện tích không tính ô thông tầng lửng</t>
  </si>
  <si>
    <t>Ô thông tầng lửng</t>
  </si>
  <si>
    <t>Tính 0,5 do xung quanh ô thông tầng vẫn phải đổ dầm, xây tường, trát tường</t>
  </si>
  <si>
    <t>Tầng 2 ... (bao gồm ban công)</t>
  </si>
  <si>
    <t>Sân thượng có mái che</t>
  </si>
  <si>
    <t>Sân thượng không mái che</t>
  </si>
  <si>
    <t>Mái Tole</t>
  </si>
  <si>
    <t>Tính theo diện tích mặt nghiêng</t>
  </si>
  <si>
    <t>Mái BTCT</t>
  </si>
  <si>
    <t>Mái ngói kèo sắt (hệ xà gồ, ngói lợp)</t>
  </si>
  <si>
    <t>Mái BTCT dán ngói</t>
  </si>
  <si>
    <t>HOÀN THIỆN CƠ BẢN</t>
  </si>
  <si>
    <t>Xây tường, trát tường</t>
  </si>
  <si>
    <t>Tường xây 100mm, tường gạch ống, vữa xây M75</t>
  </si>
  <si>
    <t>Tường xây 200mm, tường gạch ống 5 lớp câu gạch đinh, vữa xây M75</t>
  </si>
  <si>
    <t>Đà lanh tô cửa đi 1 cánh (tường 100)</t>
  </si>
  <si>
    <t>Đà lanh tô đúc sẵn 1100mm</t>
  </si>
  <si>
    <t>Nẹp V góc tường, cạnh tường</t>
  </si>
  <si>
    <t>md</t>
  </si>
  <si>
    <t>Nẹp nhựa</t>
  </si>
  <si>
    <t>Đóng lưới thép đường điện, giáp mí bê tông - gạch</t>
  </si>
  <si>
    <t>Lưới mắt cáo</t>
  </si>
  <si>
    <t>Trát tường ngoài vữa xi măng M75</t>
  </si>
  <si>
    <t>Trát tường trong vữa xi măng M75</t>
  </si>
  <si>
    <t>Trát cạnh tường / má cửa, bề rộng tường 100, vữa xi măng M75</t>
  </si>
  <si>
    <t>Trát cạnh tường / má cửa, bề rộng tường 200, vữa xi măng M75</t>
  </si>
  <si>
    <t>Chống thấm, cán nền</t>
  </si>
  <si>
    <t>Cán nền 3-5cm, vữa xi măng M75</t>
  </si>
  <si>
    <t>Chống thấm sàn, tường</t>
  </si>
  <si>
    <t>Chống thấm SIKA topseal 109 / Kova CT11A quét 2 lớp</t>
  </si>
  <si>
    <t>Ốp lát gạch</t>
  </si>
  <si>
    <t>Nhân công lát gạch</t>
  </si>
  <si>
    <t>Gạch 300x600, 600x600</t>
  </si>
  <si>
    <t>Gạch 600x1200, 800x800, 900x900</t>
  </si>
  <si>
    <t>Nhân công ốp gạch</t>
  </si>
  <si>
    <t>Keo dán gạch ngoại thất</t>
  </si>
  <si>
    <t>Webertai gres / Đơn giá vật tư</t>
  </si>
  <si>
    <t>Keo dán gạch nội thất</t>
  </si>
  <si>
    <t>Webertai vis, Webertai fix / Đơn giá vật tư</t>
  </si>
  <si>
    <t>Chà ron gạch khổ lớn</t>
  </si>
  <si>
    <t>Keo ron epoxy 2 thành phần Cetex / Saveto</t>
  </si>
  <si>
    <t>Chà ron gạch khổ nhỏ</t>
  </si>
  <si>
    <t>E</t>
  </si>
  <si>
    <t>CÔNG TÁC HOÀN THIỆN</t>
  </si>
  <si>
    <t>Thạch cao</t>
  </si>
  <si>
    <t>Trần thạch cao khung chìm</t>
  </si>
  <si>
    <t>Khung xương Vĩnh Tường M29 ,tấm thạch cao Gyproc 9mm</t>
  </si>
  <si>
    <t>Trần thạch cao khung chìm chống ẩm</t>
  </si>
  <si>
    <t>Khung xương Vĩnh Tường M29 ,tấm thạch cao Gyproc 9mm chống ẩm</t>
  </si>
  <si>
    <t>Khung xương Vĩnh Tường Tika ,tấm thạch cao Gyproc 9mm</t>
  </si>
  <si>
    <t>Khung xương Vĩnh Tường Tika ,tấm thạch cao Gyproc 9mm chống ẩm</t>
  </si>
  <si>
    <t>Khung xương Vĩnh Tường Alpha ,tấm thạch cao Gyproc 9mm</t>
  </si>
  <si>
    <t>Khung xương Vĩnh Tường Alpha ,tấm thạch cao Gyproc 9mm chống ẩm</t>
  </si>
  <si>
    <t>Khung xương Vĩnh Tường Basi ,tấm thạch cao Gyproc 9mm</t>
  </si>
  <si>
    <t>Khung xương Vĩnh Tường Basi ,tấm thạch cao Gyproc 9mm chống ẩm</t>
  </si>
  <si>
    <t>Thanh shadowline</t>
  </si>
  <si>
    <t>Vách thạch cao 1 mặt</t>
  </si>
  <si>
    <t>Xương U Vĩnh Tường ,tấm thạch cao Gyproc 9mm ốp 1 mặt</t>
  </si>
  <si>
    <t>Vách thạch cao 2 mặt</t>
  </si>
  <si>
    <t>Xương U Vĩnh Tường ,tấm thạch cao Gyproc 9mm ốp 2 mặt</t>
  </si>
  <si>
    <t>Vách thạch cao 2 mặt cách âm</t>
  </si>
  <si>
    <t>Xương U Vĩnh Tường ,tấm thạch cao Gyproc 9mm ốp 2 mặt, bông thủy tinh cách âm, cách nhiệt</t>
  </si>
  <si>
    <t>Nắp thăm trần 450x450</t>
  </si>
  <si>
    <t>Vĩnh Tường</t>
  </si>
  <si>
    <t>Nắp thăm trần 600x600</t>
  </si>
  <si>
    <t>Sơn nước</t>
  </si>
  <si>
    <t>Bả matit ngoại thất, bả 2 lớp</t>
  </si>
  <si>
    <t>Dulux / Jotun ngoại thất</t>
  </si>
  <si>
    <t>Bả matit nội thất, bả 2 lớp</t>
  </si>
  <si>
    <t>Dulux / Jotun nội thất</t>
  </si>
  <si>
    <t>Sơn ngoại thất, 1 lớp lót 2 lớp phủ</t>
  </si>
  <si>
    <t>Dulux weathershield / Jotun Jotashield</t>
  </si>
  <si>
    <t>Sơn nội thất, 1 lớp lót 2 lớp phủ</t>
  </si>
  <si>
    <t>Dulux easyclean  / Jotun essence</t>
  </si>
  <si>
    <t>Sơn hiệu ứng</t>
  </si>
  <si>
    <t>Pukaco / Conpa</t>
  </si>
  <si>
    <t>Sơn giả đá</t>
  </si>
  <si>
    <t>Kova / Hòa Bình</t>
  </si>
  <si>
    <t>Đá</t>
  </si>
  <si>
    <t>Đá nung kết 12mm</t>
  </si>
  <si>
    <t>Vasta khổ lớn chuẩn Châu Âu</t>
  </si>
  <si>
    <t xml:space="preserve">Đá nung kết 9mm </t>
  </si>
  <si>
    <t>Vasta</t>
  </si>
  <si>
    <t xml:space="preserve">Đá granite 16mm -20mm </t>
  </si>
  <si>
    <t>Đen kim sa / đen Ấn Độ</t>
  </si>
  <si>
    <t>Đá marble trắng Ý</t>
  </si>
  <si>
    <t>2.800.000 - 4.000.000</t>
  </si>
  <si>
    <t>Đá marble đen tia chớp</t>
  </si>
  <si>
    <t>2.000.000 - 3.000.000</t>
  </si>
  <si>
    <t>Đá marble Cream Marfil</t>
  </si>
  <si>
    <t>1.800.000 - 2.300.000</t>
  </si>
  <si>
    <t>Đá marble Emperador</t>
  </si>
  <si>
    <t>2.000.000 - 2.500.000</t>
  </si>
  <si>
    <t>Đá xuyên sáng Onyx</t>
  </si>
  <si>
    <t>5.000.000 - 15.000.000</t>
  </si>
  <si>
    <t>Bán theo tấm - tùy nhà cung cấp</t>
  </si>
  <si>
    <t>Đá Vicostone 20mm</t>
  </si>
  <si>
    <t>Vicostone nhóm P</t>
  </si>
  <si>
    <t>Vicostone nhóm A</t>
  </si>
  <si>
    <t>Vicostone nhóm B</t>
  </si>
  <si>
    <t>Vicostone nhóm C</t>
  </si>
  <si>
    <t>Vicostone nhóm D</t>
  </si>
  <si>
    <t>Vicostone nhóm E</t>
  </si>
  <si>
    <t>Đá ngạch cửa rộng 100</t>
  </si>
  <si>
    <t>Đá ngạch cửa rộng 200</t>
  </si>
  <si>
    <t>IV</t>
  </si>
  <si>
    <t>Sàn gỗ</t>
  </si>
  <si>
    <t>Sàn gỗ công nghiệp 8mm</t>
  </si>
  <si>
    <t>An Cường, cốt gỗ HDF, lớp foam 3mm</t>
  </si>
  <si>
    <t>Sàn gỗ công nghiệp 12mm lát thẳng</t>
  </si>
  <si>
    <t>Sàn gỗ công nghiệp 12mm xương cá</t>
  </si>
  <si>
    <t>Sàn gỗ kỹ thuật 15mm</t>
  </si>
  <si>
    <t>Bề mặt gỗ tự nhiên, lớp lõi Plywood/HDF</t>
  </si>
  <si>
    <t>Sàn gỗ tự nhiên 15mm</t>
  </si>
  <si>
    <t>Gỗ sồi</t>
  </si>
  <si>
    <t>Walnut</t>
  </si>
  <si>
    <t>Sàn gỗ biến tính 26mm</t>
  </si>
  <si>
    <t>Themor thông, bao gồm khung xương sắt</t>
  </si>
  <si>
    <t>Sàn gỗ biến tính 20mm</t>
  </si>
  <si>
    <t>Themor tần bì, bao gồm khung xương sắt</t>
  </si>
  <si>
    <t>Len gỗ tự nhiên</t>
  </si>
  <si>
    <t>Len nhựa</t>
  </si>
  <si>
    <t>Nẹp nhôm kết thúc</t>
  </si>
  <si>
    <t>V</t>
  </si>
  <si>
    <t xml:space="preserve">Nhôm, kính, sắt </t>
  </si>
  <si>
    <t>Xingfa Việt Nam</t>
  </si>
  <si>
    <t>Cửa đi / cửa sổ mở quay</t>
  </si>
  <si>
    <t>Nhôm Xingfa Việt Nam hệ 55  dày1.4ly, kính trắng 08mm cường lực, phụ kiện Kinlong loại 1</t>
  </si>
  <si>
    <t>Cửa đi / cửa sổ lùa</t>
  </si>
  <si>
    <t>Nhôm Xingfa Việt Nam hệ 55 dày 1.4ly, kính trắng 08mm cường lực, phụ kiện Kinlong loại 1</t>
  </si>
  <si>
    <t>Cửa sổ bật</t>
  </si>
  <si>
    <t>Vách kính cố định</t>
  </si>
  <si>
    <t>Nhôm Xingfa Việt Nam hệ 55 dày 1.4ly, kính trắng 08mm cường lực</t>
  </si>
  <si>
    <t>Xingfa Quảng Đông hệ 55</t>
  </si>
  <si>
    <t>Nhôm Xingfa Việt Nam Quảng Đông hệ 55 dày 2,0ly, kính trắng 10mm cường lực, phụ kiện Kinlong chính hãng</t>
  </si>
  <si>
    <t>Nhôm Xingfa Việt Nam Quảng Đông hệ 55 dày 2.0ly, kính trắng 10mm cường lực, phụ kiện Kinlong chính hãng</t>
  </si>
  <si>
    <t>Nhôm Xingfa Việt Nam Quảng Đông hệ 55 dày 1.4ly, kính trắng 10mm cường lực</t>
  </si>
  <si>
    <t>Xingfa Quảng Đông hệ 93</t>
  </si>
  <si>
    <t>Nhôm Xingfa Việt Nam Quảng Đông hệ 55 dày 2,0ly, kính trắng 10mm cường lực</t>
  </si>
  <si>
    <t>Vách kính tắm</t>
  </si>
  <si>
    <t>Vách kính WC</t>
  </si>
  <si>
    <t>Kính trắng 10mm cường lực, vách kính thẳng</t>
  </si>
  <si>
    <t>Kính màu 10mm cường lực, vách kính thẳng</t>
  </si>
  <si>
    <t>Kính sọc 10mm cường lực, vách kính thẳng</t>
  </si>
  <si>
    <t>Bộ phụ kiện vách kính tắm (bản lề, tay nắm, kẹp kính)</t>
  </si>
  <si>
    <t>bộ</t>
  </si>
  <si>
    <t>VVP chính hãng</t>
  </si>
  <si>
    <t>Hafele chính hãng</t>
  </si>
  <si>
    <t>Bộ phụ kiện cửa kính (bản lề sàn 150kg, kẹp kính, khóa sàn)</t>
  </si>
  <si>
    <t>Lan can cầu thang / ban công</t>
  </si>
  <si>
    <t>Lan can kính bắt hông (cầu thang)</t>
  </si>
  <si>
    <t>Kính trắng 10mm cường lực, vách kính thẳng, không tay vịn</t>
  </si>
  <si>
    <t>Kính dán an toàn 2 lớp 10,38mm, vách kính thẳng, không tay vịn</t>
  </si>
  <si>
    <t>Lan can kính âm (chôn ray U)</t>
  </si>
  <si>
    <t>Kính màu 10mm cường lực, vách kính thẳng, không tay vịn</t>
  </si>
  <si>
    <t>Lan can sắt đơn giản</t>
  </si>
  <si>
    <t>Cây đứng sắt hộp / sắt la, tay vịn sắt sắt hộp / sắt la, sơn 2 thành phần</t>
  </si>
  <si>
    <t>Lan can sắt cổ điển</t>
  </si>
  <si>
    <t>1.450.000 - 2.400.000</t>
  </si>
  <si>
    <t>Tùy theo thiết kế</t>
  </si>
  <si>
    <t>Tay vịn gỗ sơn Pu</t>
  </si>
  <si>
    <t>Gỗ thông / gỗ sồi</t>
  </si>
  <si>
    <t>Tay vịn nhôm vuông 20x20</t>
  </si>
  <si>
    <t>Cửa cuốn</t>
  </si>
  <si>
    <t>Cửa cuốn trượt trần overhead</t>
  </si>
  <si>
    <t>Austdoor</t>
  </si>
  <si>
    <t>Cửa cuốn khe thoáng</t>
  </si>
  <si>
    <t>Austdoor S7</t>
  </si>
  <si>
    <t>Mitadoor X50R</t>
  </si>
  <si>
    <t>Motor cửa cuốn 300kg</t>
  </si>
  <si>
    <t>Austdoor AH300A</t>
  </si>
  <si>
    <t>YH Đài Loan</t>
  </si>
  <si>
    <t>Bình lưu điện</t>
  </si>
  <si>
    <t>Austdoor E1000</t>
  </si>
  <si>
    <t>YH Power Y1000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</si>
</sst>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0" x14ac:knownFonts="1">
    <font>
      <sz val="12"/>
      <color theme="1"/>
      <name val="Calibri"/>
      <family val="2"/>
      <scheme val="minor"/>
    </font>
    <font>
      <b/>
      <sz val="14"/>
      <color rgb="FFFFFFFF"/>
      <name val="Montserrat"/>
    </font>
    <font>
      <b/>
      <sz val="14"/>
      <color theme="0"/>
      <name val="Montserrat"/>
    </font>
    <font>
      <b/>
      <sz val="14"/>
      <color theme="1"/>
      <name val="Montserrat"/>
    </font>
    <font>
      <sz val="12"/>
      <color theme="1"/>
      <name val="Montserrat"/>
    </font>
    <font>
      <sz val="14"/>
      <color theme="1"/>
      <name val="Montserrat"/>
    </font>
    <font>
      <b/>
      <sz val="12"/>
      <color theme="1"/>
      <name val="Montserrat"/>
    </font>
    <font>
      <b/>
      <sz val="14"/>
      <color rgb="FF000000"/>
      <name val="Montserrat"/>
    </font>
    <font>
      <sz val="12"/>
      <color rgb="FF000000"/>
      <name val="Montserrat"/>
    </font>
    <font>
      <b/>
      <i/>
      <sz val="14"/>
      <color theme="1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244061"/>
        <bgColor rgb="FF244061"/>
      </patternFill>
    </fill>
    <fill>
      <patternFill patternType="solid">
        <fgColor rgb="FF595959"/>
        <bgColor rgb="FF595959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3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164" fontId="5" fillId="4" borderId="0" xfId="0" applyNumberFormat="1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164" fontId="4" fillId="0" borderId="0" xfId="0" applyNumberFormat="1" applyFont="1" applyAlignment="1">
      <alignment horizontal="right" vertical="center" wrapText="1"/>
    </xf>
    <xf numFmtId="0" fontId="5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 wrapText="1"/>
    </xf>
    <xf numFmtId="164" fontId="4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58359-673E-114F-AA4E-857C0082B92A}">
  <dimension ref="A1:K178"/>
  <sheetViews>
    <sheetView tabSelected="1" topLeftCell="A93" workbookViewId="0">
      <selection activeCell="N6" sqref="N6"/>
    </sheetView>
  </sheetViews>
  <sheetFormatPr baseColWidth="10" defaultRowHeight="16" x14ac:dyDescent="0.2"/>
  <sheetData>
    <row r="1" spans="1:11" x14ac:dyDescent="0.2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1" t="s">
        <v>4</v>
      </c>
      <c r="H1" s="2" t="s">
        <v>5</v>
      </c>
      <c r="I1" s="4" t="s">
        <v>6</v>
      </c>
      <c r="J1" s="4" t="s">
        <v>7</v>
      </c>
      <c r="K1" s="2" t="s">
        <v>8</v>
      </c>
    </row>
    <row r="2" spans="1:11" ht="18" x14ac:dyDescent="0.2">
      <c r="A2" s="3"/>
      <c r="B2" s="3"/>
      <c r="C2" s="3"/>
      <c r="D2" s="5" t="s">
        <v>9</v>
      </c>
      <c r="E2" s="5" t="s">
        <v>10</v>
      </c>
      <c r="F2" s="6" t="s">
        <v>11</v>
      </c>
      <c r="G2" s="3"/>
      <c r="H2" s="3"/>
      <c r="I2" s="3"/>
      <c r="J2" s="3"/>
      <c r="K2" s="3"/>
    </row>
    <row r="3" spans="1:11" ht="72" x14ac:dyDescent="0.2">
      <c r="A3" s="7" t="s">
        <v>12</v>
      </c>
      <c r="B3" s="8"/>
      <c r="C3" s="8" t="s">
        <v>13</v>
      </c>
      <c r="D3" s="8"/>
      <c r="E3" s="8"/>
      <c r="F3" s="8"/>
      <c r="G3" s="7"/>
      <c r="H3" s="8"/>
      <c r="I3" s="8"/>
      <c r="J3" s="8"/>
      <c r="K3" s="8"/>
    </row>
    <row r="4" spans="1:11" ht="18" x14ac:dyDescent="0.2">
      <c r="A4" s="9" t="s">
        <v>14</v>
      </c>
      <c r="B4" s="10"/>
      <c r="C4" s="10" t="s">
        <v>15</v>
      </c>
      <c r="D4" s="10"/>
      <c r="E4" s="10"/>
      <c r="F4" s="10"/>
      <c r="G4" s="11"/>
      <c r="H4" s="12"/>
      <c r="I4" s="12"/>
      <c r="J4" s="12"/>
      <c r="K4" s="12"/>
    </row>
    <row r="5" spans="1:11" ht="85" x14ac:dyDescent="0.2">
      <c r="A5" s="13">
        <f t="shared" ref="A5:A14" si="0">IF(G5&lt;&gt;0,COUNTA($G$18:G5),"")</f>
        <v>12</v>
      </c>
      <c r="B5" s="14"/>
      <c r="C5" s="14" t="s">
        <v>16</v>
      </c>
      <c r="D5" s="15"/>
      <c r="E5" s="15"/>
      <c r="F5" s="13"/>
      <c r="G5" s="13" t="s">
        <v>17</v>
      </c>
      <c r="H5" s="16">
        <v>1</v>
      </c>
      <c r="I5" s="17"/>
      <c r="J5" s="17"/>
      <c r="K5" s="14" t="s">
        <v>18</v>
      </c>
    </row>
    <row r="6" spans="1:11" ht="34" x14ac:dyDescent="0.2">
      <c r="A6" s="13">
        <f t="shared" si="0"/>
        <v>11</v>
      </c>
      <c r="B6" s="14"/>
      <c r="C6" s="14" t="s">
        <v>19</v>
      </c>
      <c r="D6" s="15"/>
      <c r="E6" s="15"/>
      <c r="F6" s="13"/>
      <c r="G6" s="13" t="s">
        <v>20</v>
      </c>
      <c r="H6" s="16">
        <v>1</v>
      </c>
      <c r="I6" s="17">
        <v>1200000</v>
      </c>
      <c r="J6" s="17"/>
      <c r="K6" s="14" t="s">
        <v>21</v>
      </c>
    </row>
    <row r="7" spans="1:11" ht="51" x14ac:dyDescent="0.2">
      <c r="A7" s="13">
        <f t="shared" si="0"/>
        <v>10</v>
      </c>
      <c r="B7" s="14"/>
      <c r="C7" s="14" t="s">
        <v>22</v>
      </c>
      <c r="D7" s="15"/>
      <c r="E7" s="15"/>
      <c r="F7" s="13"/>
      <c r="G7" s="13" t="s">
        <v>17</v>
      </c>
      <c r="H7" s="16">
        <v>1</v>
      </c>
      <c r="I7" s="17">
        <v>10000000</v>
      </c>
      <c r="J7" s="17"/>
      <c r="K7" s="14" t="s">
        <v>21</v>
      </c>
    </row>
    <row r="8" spans="1:11" ht="51" x14ac:dyDescent="0.2">
      <c r="A8" s="13">
        <f t="shared" si="0"/>
        <v>9</v>
      </c>
      <c r="B8" s="14"/>
      <c r="C8" s="14" t="s">
        <v>23</v>
      </c>
      <c r="D8" s="15"/>
      <c r="E8" s="15"/>
      <c r="F8" s="13"/>
      <c r="G8" s="13" t="s">
        <v>17</v>
      </c>
      <c r="H8" s="16">
        <v>1</v>
      </c>
      <c r="I8" s="17">
        <v>5000000</v>
      </c>
      <c r="J8" s="17"/>
      <c r="K8" s="14" t="s">
        <v>21</v>
      </c>
    </row>
    <row r="9" spans="1:11" ht="102" x14ac:dyDescent="0.2">
      <c r="A9" s="13">
        <f t="shared" si="0"/>
        <v>8</v>
      </c>
      <c r="B9" s="14"/>
      <c r="C9" s="14" t="s">
        <v>24</v>
      </c>
      <c r="D9" s="15"/>
      <c r="E9" s="15"/>
      <c r="F9" s="13"/>
      <c r="G9" s="13" t="s">
        <v>17</v>
      </c>
      <c r="H9" s="16">
        <v>1</v>
      </c>
      <c r="I9" s="17"/>
      <c r="J9" s="17"/>
      <c r="K9" s="14"/>
    </row>
    <row r="10" spans="1:11" ht="51" x14ac:dyDescent="0.2">
      <c r="A10" s="13">
        <f t="shared" si="0"/>
        <v>7</v>
      </c>
      <c r="B10" s="14"/>
      <c r="C10" s="14" t="s">
        <v>25</v>
      </c>
      <c r="D10" s="15"/>
      <c r="E10" s="15"/>
      <c r="F10" s="13"/>
      <c r="G10" s="13" t="s">
        <v>26</v>
      </c>
      <c r="H10" s="16">
        <v>1</v>
      </c>
      <c r="I10" s="17">
        <v>80000</v>
      </c>
      <c r="J10" s="17"/>
      <c r="K10" s="14" t="s">
        <v>27</v>
      </c>
    </row>
    <row r="11" spans="1:11" ht="68" x14ac:dyDescent="0.2">
      <c r="A11" s="13">
        <f t="shared" si="0"/>
        <v>6</v>
      </c>
      <c r="B11" s="14"/>
      <c r="C11" s="14" t="s">
        <v>28</v>
      </c>
      <c r="D11" s="15"/>
      <c r="E11" s="15"/>
      <c r="F11" s="13"/>
      <c r="G11" s="13" t="s">
        <v>29</v>
      </c>
      <c r="H11" s="16">
        <v>1</v>
      </c>
      <c r="I11" s="17">
        <v>3000000</v>
      </c>
      <c r="J11" s="17"/>
      <c r="K11" s="14" t="s">
        <v>30</v>
      </c>
    </row>
    <row r="12" spans="1:11" ht="102" x14ac:dyDescent="0.2">
      <c r="A12" s="13">
        <f t="shared" si="0"/>
        <v>5</v>
      </c>
      <c r="B12" s="14"/>
      <c r="C12" s="14" t="s">
        <v>31</v>
      </c>
      <c r="D12" s="15"/>
      <c r="E12" s="15"/>
      <c r="F12" s="13"/>
      <c r="G12" s="13" t="s">
        <v>29</v>
      </c>
      <c r="H12" s="16">
        <v>1</v>
      </c>
      <c r="I12" s="17">
        <v>18000000</v>
      </c>
      <c r="J12" s="17"/>
      <c r="K12" s="14" t="s">
        <v>32</v>
      </c>
    </row>
    <row r="13" spans="1:11" ht="85" x14ac:dyDescent="0.2">
      <c r="A13" s="13">
        <f t="shared" si="0"/>
        <v>4</v>
      </c>
      <c r="B13" s="14"/>
      <c r="C13" s="14" t="s">
        <v>33</v>
      </c>
      <c r="D13" s="15"/>
      <c r="E13" s="15"/>
      <c r="F13" s="13"/>
      <c r="G13" s="13" t="s">
        <v>29</v>
      </c>
      <c r="H13" s="16">
        <v>1</v>
      </c>
      <c r="I13" s="17">
        <v>1500000</v>
      </c>
      <c r="J13" s="17"/>
      <c r="K13" s="14" t="s">
        <v>34</v>
      </c>
    </row>
    <row r="14" spans="1:11" ht="356" x14ac:dyDescent="0.2">
      <c r="A14" s="13">
        <f t="shared" si="0"/>
        <v>3</v>
      </c>
      <c r="B14" s="14"/>
      <c r="C14" s="14" t="s">
        <v>35</v>
      </c>
      <c r="D14" s="15"/>
      <c r="E14" s="15"/>
      <c r="F14" s="13"/>
      <c r="G14" s="13" t="s">
        <v>26</v>
      </c>
      <c r="H14" s="16">
        <v>1</v>
      </c>
      <c r="I14" s="17">
        <v>350000</v>
      </c>
      <c r="J14" s="17"/>
      <c r="K14" s="14" t="s">
        <v>36</v>
      </c>
    </row>
    <row r="15" spans="1:11" ht="54" x14ac:dyDescent="0.2">
      <c r="A15" s="7" t="s">
        <v>37</v>
      </c>
      <c r="B15" s="8"/>
      <c r="C15" s="8" t="s">
        <v>38</v>
      </c>
      <c r="D15" s="8"/>
      <c r="E15" s="8"/>
      <c r="F15" s="8"/>
      <c r="G15" s="7"/>
      <c r="H15" s="8"/>
      <c r="I15" s="8"/>
      <c r="J15" s="8"/>
      <c r="K15" s="8"/>
    </row>
    <row r="16" spans="1:11" ht="18" x14ac:dyDescent="0.2">
      <c r="A16" s="9" t="s">
        <v>14</v>
      </c>
      <c r="B16" s="10"/>
      <c r="C16" s="10" t="s">
        <v>39</v>
      </c>
      <c r="D16" s="10"/>
      <c r="E16" s="10"/>
      <c r="F16" s="10"/>
      <c r="G16" s="11"/>
      <c r="H16" s="12"/>
      <c r="I16" s="12"/>
      <c r="J16" s="12"/>
      <c r="K16" s="18"/>
    </row>
    <row r="17" spans="1:11" ht="85" x14ac:dyDescent="0.2">
      <c r="A17" s="13">
        <f t="shared" ref="A17:A23" si="1">IF(G17&lt;&gt;0,COUNTA($G$30:G17),"")</f>
        <v>11</v>
      </c>
      <c r="B17" s="14"/>
      <c r="C17" s="14" t="s">
        <v>40</v>
      </c>
      <c r="D17" s="15"/>
      <c r="E17" s="15"/>
      <c r="F17" s="13"/>
      <c r="G17" s="13" t="s">
        <v>26</v>
      </c>
      <c r="H17" s="16">
        <v>1</v>
      </c>
      <c r="I17" s="17">
        <v>260000</v>
      </c>
      <c r="J17" s="17"/>
      <c r="K17" s="14"/>
    </row>
    <row r="18" spans="1:11" ht="102" x14ac:dyDescent="0.2">
      <c r="A18" s="13">
        <f t="shared" si="1"/>
        <v>10</v>
      </c>
      <c r="B18" s="14"/>
      <c r="C18" s="14" t="s">
        <v>41</v>
      </c>
      <c r="D18" s="15"/>
      <c r="E18" s="15"/>
      <c r="F18" s="13"/>
      <c r="G18" s="13" t="s">
        <v>26</v>
      </c>
      <c r="H18" s="16">
        <v>1</v>
      </c>
      <c r="I18" s="17">
        <v>70000</v>
      </c>
      <c r="J18" s="17"/>
      <c r="K18" s="14" t="s">
        <v>42</v>
      </c>
    </row>
    <row r="19" spans="1:11" ht="102" x14ac:dyDescent="0.2">
      <c r="A19" s="13">
        <f t="shared" si="1"/>
        <v>9</v>
      </c>
      <c r="B19" s="14"/>
      <c r="C19" s="14" t="s">
        <v>43</v>
      </c>
      <c r="D19" s="15"/>
      <c r="E19" s="15"/>
      <c r="F19" s="13"/>
      <c r="G19" s="13" t="s">
        <v>44</v>
      </c>
      <c r="H19" s="16">
        <v>1</v>
      </c>
      <c r="I19" s="17">
        <v>1200000</v>
      </c>
      <c r="J19" s="17"/>
      <c r="K19" s="14" t="s">
        <v>45</v>
      </c>
    </row>
    <row r="20" spans="1:11" ht="136" x14ac:dyDescent="0.2">
      <c r="A20" s="13">
        <f t="shared" si="1"/>
        <v>8</v>
      </c>
      <c r="B20" s="14"/>
      <c r="C20" s="14" t="s">
        <v>46</v>
      </c>
      <c r="D20" s="15"/>
      <c r="E20" s="15"/>
      <c r="F20" s="13"/>
      <c r="G20" s="13" t="s">
        <v>26</v>
      </c>
      <c r="H20" s="16">
        <v>1</v>
      </c>
      <c r="I20" s="17">
        <v>40000</v>
      </c>
      <c r="J20" s="17"/>
      <c r="K20" s="14" t="s">
        <v>47</v>
      </c>
    </row>
    <row r="21" spans="1:11" ht="85" x14ac:dyDescent="0.2">
      <c r="A21" s="13">
        <f t="shared" si="1"/>
        <v>7</v>
      </c>
      <c r="B21" s="14"/>
      <c r="C21" s="14" t="s">
        <v>48</v>
      </c>
      <c r="D21" s="15"/>
      <c r="E21" s="15"/>
      <c r="F21" s="13"/>
      <c r="G21" s="13" t="s">
        <v>26</v>
      </c>
      <c r="H21" s="16">
        <v>1</v>
      </c>
      <c r="I21" s="17">
        <v>360000</v>
      </c>
      <c r="J21" s="17"/>
      <c r="K21" s="14"/>
    </row>
    <row r="22" spans="1:11" ht="102" x14ac:dyDescent="0.2">
      <c r="A22" s="13">
        <f t="shared" si="1"/>
        <v>6</v>
      </c>
      <c r="B22" s="14"/>
      <c r="C22" s="14" t="s">
        <v>49</v>
      </c>
      <c r="D22" s="15"/>
      <c r="E22" s="15"/>
      <c r="F22" s="13"/>
      <c r="G22" s="13" t="s">
        <v>26</v>
      </c>
      <c r="H22" s="16">
        <v>1</v>
      </c>
      <c r="I22" s="17">
        <v>80000</v>
      </c>
      <c r="J22" s="17"/>
      <c r="K22" s="14" t="s">
        <v>42</v>
      </c>
    </row>
    <row r="23" spans="1:11" ht="102" x14ac:dyDescent="0.2">
      <c r="A23" s="13">
        <f t="shared" si="1"/>
        <v>5</v>
      </c>
      <c r="B23" s="14"/>
      <c r="C23" s="14" t="s">
        <v>49</v>
      </c>
      <c r="D23" s="15"/>
      <c r="E23" s="15"/>
      <c r="F23" s="13"/>
      <c r="G23" s="13" t="s">
        <v>44</v>
      </c>
      <c r="H23" s="16">
        <v>1</v>
      </c>
      <c r="I23" s="17">
        <v>1300000</v>
      </c>
      <c r="J23" s="17"/>
      <c r="K23" s="14" t="s">
        <v>45</v>
      </c>
    </row>
    <row r="24" spans="1:11" ht="18" x14ac:dyDescent="0.2">
      <c r="A24" s="9" t="s">
        <v>50</v>
      </c>
      <c r="B24" s="10"/>
      <c r="C24" s="10" t="s">
        <v>51</v>
      </c>
      <c r="D24" s="10"/>
      <c r="E24" s="10"/>
      <c r="F24" s="10"/>
      <c r="G24" s="11"/>
      <c r="H24" s="12"/>
      <c r="I24" s="12"/>
      <c r="J24" s="12"/>
      <c r="K24" s="18"/>
    </row>
    <row r="25" spans="1:11" ht="85" x14ac:dyDescent="0.2">
      <c r="A25" s="13">
        <f t="shared" ref="A25:A28" si="2">IF(G25&lt;&gt;0,COUNTA($G$38:G25),"")</f>
        <v>11</v>
      </c>
      <c r="B25" s="14"/>
      <c r="C25" s="14" t="s">
        <v>52</v>
      </c>
      <c r="D25" s="15"/>
      <c r="E25" s="15"/>
      <c r="F25" s="13"/>
      <c r="G25" s="13" t="s">
        <v>26</v>
      </c>
      <c r="H25" s="16">
        <v>1</v>
      </c>
      <c r="I25" s="17">
        <v>2800000</v>
      </c>
      <c r="J25" s="17"/>
      <c r="K25" s="14" t="s">
        <v>53</v>
      </c>
    </row>
    <row r="26" spans="1:11" ht="119" x14ac:dyDescent="0.2">
      <c r="A26" s="13">
        <f t="shared" si="2"/>
        <v>10</v>
      </c>
      <c r="B26" s="14"/>
      <c r="C26" s="14" t="s">
        <v>54</v>
      </c>
      <c r="D26" s="15"/>
      <c r="E26" s="15"/>
      <c r="F26" s="13"/>
      <c r="G26" s="13" t="s">
        <v>55</v>
      </c>
      <c r="H26" s="16">
        <v>1</v>
      </c>
      <c r="I26" s="17"/>
      <c r="J26" s="17"/>
      <c r="K26" s="14" t="s">
        <v>56</v>
      </c>
    </row>
    <row r="27" spans="1:11" ht="170" x14ac:dyDescent="0.2">
      <c r="A27" s="13">
        <f t="shared" si="2"/>
        <v>9</v>
      </c>
      <c r="B27" s="14"/>
      <c r="C27" s="14" t="s">
        <v>57</v>
      </c>
      <c r="D27" s="15"/>
      <c r="E27" s="15"/>
      <c r="F27" s="13"/>
      <c r="G27" s="13" t="s">
        <v>26</v>
      </c>
      <c r="H27" s="16">
        <v>1</v>
      </c>
      <c r="I27" s="17">
        <v>480000</v>
      </c>
      <c r="J27" s="17"/>
      <c r="K27" s="14" t="s">
        <v>58</v>
      </c>
    </row>
    <row r="28" spans="1:11" ht="85" x14ac:dyDescent="0.2">
      <c r="A28" s="13">
        <f t="shared" si="2"/>
        <v>8</v>
      </c>
      <c r="B28" s="14"/>
      <c r="C28" s="14" t="s">
        <v>59</v>
      </c>
      <c r="D28" s="15"/>
      <c r="E28" s="15"/>
      <c r="F28" s="13"/>
      <c r="G28" s="13" t="s">
        <v>55</v>
      </c>
      <c r="H28" s="16">
        <v>1</v>
      </c>
      <c r="I28" s="17">
        <v>180000</v>
      </c>
      <c r="J28" s="17"/>
      <c r="K28" s="14" t="s">
        <v>60</v>
      </c>
    </row>
    <row r="29" spans="1:11" ht="90" x14ac:dyDescent="0.2">
      <c r="A29" s="7" t="s">
        <v>11</v>
      </c>
      <c r="B29" s="8"/>
      <c r="C29" s="8" t="s">
        <v>61</v>
      </c>
      <c r="D29" s="8"/>
      <c r="E29" s="8"/>
      <c r="F29" s="8"/>
      <c r="G29" s="7"/>
      <c r="H29" s="8"/>
      <c r="I29" s="8"/>
      <c r="J29" s="8"/>
      <c r="K29" s="7"/>
    </row>
    <row r="30" spans="1:11" ht="162" x14ac:dyDescent="0.2">
      <c r="A30" s="9" t="s">
        <v>14</v>
      </c>
      <c r="B30" s="12"/>
      <c r="C30" s="12" t="s">
        <v>62</v>
      </c>
      <c r="D30" s="19"/>
      <c r="E30" s="19"/>
      <c r="F30" s="19"/>
      <c r="G30" s="20"/>
      <c r="H30" s="19"/>
      <c r="I30" s="21"/>
      <c r="J30" s="12"/>
      <c r="K30" s="9" t="s">
        <v>63</v>
      </c>
    </row>
    <row r="31" spans="1:11" ht="187" x14ac:dyDescent="0.2">
      <c r="A31" s="13">
        <f t="shared" ref="A31:A36" si="3">IF(G31&lt;&gt;0,COUNTA($G$44:G31),"")</f>
        <v>12</v>
      </c>
      <c r="B31" s="22"/>
      <c r="C31" s="22" t="s">
        <v>64</v>
      </c>
      <c r="D31" s="22"/>
      <c r="E31" s="22"/>
      <c r="F31" s="22"/>
      <c r="G31" s="15" t="s">
        <v>65</v>
      </c>
      <c r="H31" s="22"/>
      <c r="I31" s="23">
        <v>3050000</v>
      </c>
      <c r="J31" s="24"/>
      <c r="K31" s="14" t="s">
        <v>66</v>
      </c>
    </row>
    <row r="32" spans="1:11" ht="187" x14ac:dyDescent="0.2">
      <c r="A32" s="13">
        <f t="shared" si="3"/>
        <v>11</v>
      </c>
      <c r="B32" s="22"/>
      <c r="C32" s="22" t="s">
        <v>64</v>
      </c>
      <c r="D32" s="22"/>
      <c r="E32" s="22"/>
      <c r="F32" s="22"/>
      <c r="G32" s="15" t="s">
        <v>65</v>
      </c>
      <c r="H32" s="22"/>
      <c r="I32" s="23">
        <v>3150000</v>
      </c>
      <c r="J32" s="24"/>
      <c r="K32" s="14" t="s">
        <v>67</v>
      </c>
    </row>
    <row r="33" spans="1:11" ht="153" x14ac:dyDescent="0.2">
      <c r="A33" s="13">
        <f t="shared" si="3"/>
        <v>10</v>
      </c>
      <c r="B33" s="22"/>
      <c r="C33" s="22" t="s">
        <v>64</v>
      </c>
      <c r="D33" s="22"/>
      <c r="E33" s="22"/>
      <c r="F33" s="22"/>
      <c r="G33" s="15" t="s">
        <v>65</v>
      </c>
      <c r="H33" s="22"/>
      <c r="I33" s="23">
        <v>3200000</v>
      </c>
      <c r="J33" s="24"/>
      <c r="K33" s="14" t="s">
        <v>68</v>
      </c>
    </row>
    <row r="34" spans="1:11" ht="153" x14ac:dyDescent="0.2">
      <c r="A34" s="13">
        <f t="shared" si="3"/>
        <v>9</v>
      </c>
      <c r="B34" s="22"/>
      <c r="C34" s="22" t="s">
        <v>64</v>
      </c>
      <c r="D34" s="22"/>
      <c r="E34" s="22"/>
      <c r="F34" s="22"/>
      <c r="G34" s="15" t="s">
        <v>65</v>
      </c>
      <c r="H34" s="22"/>
      <c r="I34" s="23">
        <v>3350000</v>
      </c>
      <c r="J34" s="24"/>
      <c r="K34" s="14" t="s">
        <v>69</v>
      </c>
    </row>
    <row r="35" spans="1:11" ht="153" x14ac:dyDescent="0.2">
      <c r="A35" s="13">
        <f t="shared" si="3"/>
        <v>8</v>
      </c>
      <c r="B35" s="22"/>
      <c r="C35" s="22" t="s">
        <v>70</v>
      </c>
      <c r="D35" s="22"/>
      <c r="E35" s="22"/>
      <c r="F35" s="22"/>
      <c r="G35" s="15" t="s">
        <v>65</v>
      </c>
      <c r="H35" s="22"/>
      <c r="I35" s="25" t="s">
        <v>71</v>
      </c>
      <c r="J35" s="24"/>
      <c r="K35" s="14" t="s">
        <v>72</v>
      </c>
    </row>
    <row r="36" spans="1:11" ht="68" x14ac:dyDescent="0.2">
      <c r="A36" s="13">
        <f t="shared" si="3"/>
        <v>7</v>
      </c>
      <c r="B36" s="22"/>
      <c r="C36" s="22" t="s">
        <v>73</v>
      </c>
      <c r="D36" s="22"/>
      <c r="E36" s="22"/>
      <c r="F36" s="22"/>
      <c r="G36" s="15" t="s">
        <v>65</v>
      </c>
      <c r="H36" s="22"/>
      <c r="I36" s="25" t="s">
        <v>71</v>
      </c>
      <c r="J36" s="24"/>
      <c r="K36" s="14"/>
    </row>
    <row r="37" spans="1:11" ht="126" x14ac:dyDescent="0.2">
      <c r="A37" s="9" t="s">
        <v>50</v>
      </c>
      <c r="B37" s="12"/>
      <c r="C37" s="12" t="s">
        <v>74</v>
      </c>
      <c r="D37" s="19"/>
      <c r="E37" s="19"/>
      <c r="F37" s="19"/>
      <c r="G37" s="20"/>
      <c r="H37" s="19"/>
      <c r="I37" s="21"/>
      <c r="J37" s="12"/>
      <c r="K37" s="9" t="s">
        <v>75</v>
      </c>
    </row>
    <row r="38" spans="1:11" ht="272" x14ac:dyDescent="0.2">
      <c r="A38" s="13">
        <v>1</v>
      </c>
      <c r="B38" s="22"/>
      <c r="C38" s="22" t="s">
        <v>76</v>
      </c>
      <c r="D38" s="22"/>
      <c r="E38" s="22"/>
      <c r="F38" s="22"/>
      <c r="G38" s="15" t="s">
        <v>65</v>
      </c>
      <c r="H38" s="22"/>
      <c r="I38" s="23">
        <v>450000</v>
      </c>
      <c r="J38" s="24"/>
      <c r="K38" s="14" t="s">
        <v>77</v>
      </c>
    </row>
    <row r="39" spans="1:11" ht="187" x14ac:dyDescent="0.2">
      <c r="A39" s="13">
        <v>2</v>
      </c>
      <c r="B39" s="22"/>
      <c r="C39" s="22" t="s">
        <v>78</v>
      </c>
      <c r="D39" s="22"/>
      <c r="E39" s="22"/>
      <c r="F39" s="22"/>
      <c r="G39" s="15" t="s">
        <v>65</v>
      </c>
      <c r="H39" s="22"/>
      <c r="I39" s="25" t="s">
        <v>79</v>
      </c>
      <c r="J39" s="24"/>
      <c r="K39" s="14" t="s">
        <v>80</v>
      </c>
    </row>
    <row r="40" spans="1:11" ht="72" x14ac:dyDescent="0.2">
      <c r="A40" s="9" t="s">
        <v>81</v>
      </c>
      <c r="B40" s="12"/>
      <c r="C40" s="12" t="s">
        <v>82</v>
      </c>
      <c r="D40" s="19"/>
      <c r="E40" s="19"/>
      <c r="F40" s="19"/>
      <c r="G40" s="20"/>
      <c r="H40" s="19"/>
      <c r="I40" s="21"/>
      <c r="J40" s="12"/>
      <c r="K40" s="26"/>
    </row>
    <row r="41" spans="1:11" ht="51" x14ac:dyDescent="0.2">
      <c r="A41" s="13">
        <f t="shared" ref="A41:A62" si="4">IF(G41&lt;&gt;0,COUNTA($G$54:G41),"")</f>
        <v>14</v>
      </c>
      <c r="B41" s="14"/>
      <c r="C41" s="14" t="s">
        <v>83</v>
      </c>
      <c r="D41" s="15"/>
      <c r="E41" s="15"/>
      <c r="F41" s="13"/>
      <c r="G41" s="13" t="s">
        <v>65</v>
      </c>
      <c r="H41" s="16">
        <v>0.3</v>
      </c>
      <c r="I41" s="17"/>
      <c r="J41" s="17"/>
      <c r="K41" s="14"/>
    </row>
    <row r="42" spans="1:11" ht="68" x14ac:dyDescent="0.2">
      <c r="A42" s="13">
        <f t="shared" si="4"/>
        <v>13</v>
      </c>
      <c r="B42" s="14"/>
      <c r="C42" s="14" t="s">
        <v>84</v>
      </c>
      <c r="D42" s="15"/>
      <c r="E42" s="15"/>
      <c r="F42" s="13"/>
      <c r="G42" s="13" t="s">
        <v>65</v>
      </c>
      <c r="H42" s="16">
        <v>0.5</v>
      </c>
      <c r="I42" s="17"/>
      <c r="J42" s="17"/>
      <c r="K42" s="14"/>
    </row>
    <row r="43" spans="1:11" ht="51" x14ac:dyDescent="0.2">
      <c r="A43" s="13">
        <f t="shared" si="4"/>
        <v>12</v>
      </c>
      <c r="B43" s="14"/>
      <c r="C43" s="14" t="s">
        <v>85</v>
      </c>
      <c r="D43" s="15"/>
      <c r="E43" s="15"/>
      <c r="F43" s="13"/>
      <c r="G43" s="13" t="s">
        <v>65</v>
      </c>
      <c r="H43" s="16">
        <v>0.5</v>
      </c>
      <c r="I43" s="17"/>
      <c r="J43" s="17"/>
      <c r="K43" s="14"/>
    </row>
    <row r="44" spans="1:11" ht="51" x14ac:dyDescent="0.2">
      <c r="A44" s="13">
        <f t="shared" si="4"/>
        <v>11</v>
      </c>
      <c r="B44" s="14"/>
      <c r="C44" s="14" t="s">
        <v>86</v>
      </c>
      <c r="D44" s="15"/>
      <c r="E44" s="15"/>
      <c r="F44" s="13"/>
      <c r="G44" s="13" t="s">
        <v>65</v>
      </c>
      <c r="H44" s="16">
        <v>0.7</v>
      </c>
      <c r="I44" s="17"/>
      <c r="J44" s="17"/>
      <c r="K44" s="14"/>
    </row>
    <row r="45" spans="1:11" ht="17" x14ac:dyDescent="0.2">
      <c r="A45" s="13">
        <f t="shared" si="4"/>
        <v>10</v>
      </c>
      <c r="B45" s="14"/>
      <c r="C45" s="14" t="s">
        <v>87</v>
      </c>
      <c r="D45" s="15"/>
      <c r="E45" s="15"/>
      <c r="F45" s="13"/>
      <c r="G45" s="13" t="s">
        <v>65</v>
      </c>
      <c r="H45" s="16">
        <v>1</v>
      </c>
      <c r="I45" s="17"/>
      <c r="J45" s="17"/>
      <c r="K45" s="14"/>
    </row>
    <row r="46" spans="1:11" ht="51" x14ac:dyDescent="0.2">
      <c r="A46" s="13">
        <f t="shared" si="4"/>
        <v>9</v>
      </c>
      <c r="B46" s="14"/>
      <c r="C46" s="14" t="s">
        <v>88</v>
      </c>
      <c r="D46" s="15"/>
      <c r="E46" s="15"/>
      <c r="F46" s="13"/>
      <c r="G46" s="13" t="s">
        <v>65</v>
      </c>
      <c r="H46" s="16">
        <v>1</v>
      </c>
      <c r="I46" s="17"/>
      <c r="J46" s="17"/>
      <c r="K46" s="14"/>
    </row>
    <row r="47" spans="1:11" ht="68" x14ac:dyDescent="0.2">
      <c r="A47" s="13">
        <f t="shared" si="4"/>
        <v>8</v>
      </c>
      <c r="B47" s="14"/>
      <c r="C47" s="14" t="s">
        <v>89</v>
      </c>
      <c r="D47" s="15"/>
      <c r="E47" s="15"/>
      <c r="F47" s="13"/>
      <c r="G47" s="13" t="s">
        <v>65</v>
      </c>
      <c r="H47" s="16">
        <v>1.5</v>
      </c>
      <c r="I47" s="17"/>
      <c r="J47" s="17"/>
      <c r="K47" s="14"/>
    </row>
    <row r="48" spans="1:11" ht="68" x14ac:dyDescent="0.2">
      <c r="A48" s="13">
        <f t="shared" si="4"/>
        <v>7</v>
      </c>
      <c r="B48" s="14"/>
      <c r="C48" s="14" t="s">
        <v>90</v>
      </c>
      <c r="D48" s="15"/>
      <c r="E48" s="15"/>
      <c r="F48" s="13"/>
      <c r="G48" s="13" t="s">
        <v>65</v>
      </c>
      <c r="H48" s="16">
        <v>1.7</v>
      </c>
      <c r="I48" s="17"/>
      <c r="J48" s="17"/>
      <c r="K48" s="14"/>
    </row>
    <row r="49" spans="1:11" ht="68" x14ac:dyDescent="0.2">
      <c r="A49" s="13">
        <f t="shared" si="4"/>
        <v>6</v>
      </c>
      <c r="B49" s="14"/>
      <c r="C49" s="14" t="s">
        <v>91</v>
      </c>
      <c r="D49" s="15"/>
      <c r="E49" s="15"/>
      <c r="F49" s="13"/>
      <c r="G49" s="13" t="s">
        <v>65</v>
      </c>
      <c r="H49" s="16">
        <v>2</v>
      </c>
      <c r="I49" s="17"/>
      <c r="J49" s="17"/>
      <c r="K49" s="14"/>
    </row>
    <row r="50" spans="1:11" ht="68" x14ac:dyDescent="0.2">
      <c r="A50" s="13">
        <f t="shared" si="4"/>
        <v>5</v>
      </c>
      <c r="B50" s="14"/>
      <c r="C50" s="14" t="s">
        <v>92</v>
      </c>
      <c r="D50" s="15"/>
      <c r="E50" s="15"/>
      <c r="F50" s="13"/>
      <c r="G50" s="13" t="s">
        <v>65</v>
      </c>
      <c r="H50" s="16">
        <v>2.5</v>
      </c>
      <c r="I50" s="17"/>
      <c r="J50" s="17"/>
      <c r="K50" s="14"/>
    </row>
    <row r="51" spans="1:11" ht="17" x14ac:dyDescent="0.2">
      <c r="A51" s="13">
        <f t="shared" si="4"/>
        <v>4</v>
      </c>
      <c r="B51" s="14"/>
      <c r="C51" s="14" t="s">
        <v>93</v>
      </c>
      <c r="D51" s="15"/>
      <c r="E51" s="15"/>
      <c r="F51" s="13"/>
      <c r="G51" s="13" t="s">
        <v>65</v>
      </c>
      <c r="H51" s="16">
        <v>1</v>
      </c>
      <c r="I51" s="17"/>
      <c r="J51" s="17"/>
      <c r="K51" s="14"/>
    </row>
    <row r="52" spans="1:11" ht="51" x14ac:dyDescent="0.2">
      <c r="A52" s="13">
        <f t="shared" si="4"/>
        <v>3</v>
      </c>
      <c r="B52" s="14"/>
      <c r="C52" s="14" t="s">
        <v>94</v>
      </c>
      <c r="D52" s="15"/>
      <c r="E52" s="15"/>
      <c r="F52" s="13"/>
      <c r="G52" s="13" t="s">
        <v>65</v>
      </c>
      <c r="H52" s="16">
        <v>0.5</v>
      </c>
      <c r="I52" s="17"/>
      <c r="J52" s="17"/>
      <c r="K52" s="14"/>
    </row>
    <row r="53" spans="1:11" ht="17" x14ac:dyDescent="0.2">
      <c r="A53" s="13">
        <f t="shared" si="4"/>
        <v>2</v>
      </c>
      <c r="B53" s="14"/>
      <c r="C53" s="14" t="s">
        <v>95</v>
      </c>
      <c r="D53" s="15"/>
      <c r="E53" s="15"/>
      <c r="F53" s="13"/>
      <c r="G53" s="13" t="s">
        <v>65</v>
      </c>
      <c r="H53" s="16">
        <v>0.5</v>
      </c>
      <c r="I53" s="17"/>
      <c r="J53" s="17"/>
      <c r="K53" s="14"/>
    </row>
    <row r="54" spans="1:11" ht="85" x14ac:dyDescent="0.2">
      <c r="A54" s="13">
        <f t="shared" si="4"/>
        <v>1</v>
      </c>
      <c r="B54" s="14"/>
      <c r="C54" s="14" t="s">
        <v>96</v>
      </c>
      <c r="D54" s="15"/>
      <c r="E54" s="15"/>
      <c r="F54" s="13"/>
      <c r="G54" s="13" t="s">
        <v>65</v>
      </c>
      <c r="H54" s="16">
        <v>1</v>
      </c>
      <c r="I54" s="17"/>
      <c r="J54" s="17"/>
      <c r="K54" s="14" t="s">
        <v>97</v>
      </c>
    </row>
    <row r="55" spans="1:11" ht="170" x14ac:dyDescent="0.2">
      <c r="A55" s="13">
        <f t="shared" si="4"/>
        <v>2</v>
      </c>
      <c r="B55" s="14"/>
      <c r="C55" s="14" t="s">
        <v>98</v>
      </c>
      <c r="D55" s="15"/>
      <c r="E55" s="15"/>
      <c r="F55" s="13"/>
      <c r="G55" s="13" t="s">
        <v>65</v>
      </c>
      <c r="H55" s="16">
        <v>0.5</v>
      </c>
      <c r="I55" s="17"/>
      <c r="J55" s="17"/>
      <c r="K55" s="14" t="s">
        <v>99</v>
      </c>
    </row>
    <row r="56" spans="1:11" ht="68" x14ac:dyDescent="0.2">
      <c r="A56" s="13">
        <f t="shared" si="4"/>
        <v>3</v>
      </c>
      <c r="B56" s="14"/>
      <c r="C56" s="14" t="s">
        <v>100</v>
      </c>
      <c r="D56" s="15"/>
      <c r="E56" s="15"/>
      <c r="F56" s="13"/>
      <c r="G56" s="13" t="s">
        <v>65</v>
      </c>
      <c r="H56" s="16">
        <v>1</v>
      </c>
      <c r="I56" s="17"/>
      <c r="J56" s="17"/>
      <c r="K56" s="14"/>
    </row>
    <row r="57" spans="1:11" ht="68" x14ac:dyDescent="0.2">
      <c r="A57" s="13">
        <f t="shared" si="4"/>
        <v>4</v>
      </c>
      <c r="B57" s="14"/>
      <c r="C57" s="14" t="s">
        <v>101</v>
      </c>
      <c r="D57" s="15"/>
      <c r="E57" s="15"/>
      <c r="F57" s="13"/>
      <c r="G57" s="13" t="s">
        <v>65</v>
      </c>
      <c r="H57" s="16">
        <v>1</v>
      </c>
      <c r="I57" s="17"/>
      <c r="J57" s="17"/>
      <c r="K57" s="14"/>
    </row>
    <row r="58" spans="1:11" ht="68" x14ac:dyDescent="0.2">
      <c r="A58" s="13">
        <f t="shared" si="4"/>
        <v>5</v>
      </c>
      <c r="B58" s="14"/>
      <c r="C58" s="14" t="s">
        <v>102</v>
      </c>
      <c r="D58" s="15"/>
      <c r="E58" s="15"/>
      <c r="F58" s="13"/>
      <c r="G58" s="13" t="s">
        <v>65</v>
      </c>
      <c r="H58" s="16">
        <v>0.5</v>
      </c>
      <c r="I58" s="17"/>
      <c r="J58" s="17"/>
      <c r="K58" s="14"/>
    </row>
    <row r="59" spans="1:11" ht="68" x14ac:dyDescent="0.2">
      <c r="A59" s="13">
        <f t="shared" si="4"/>
        <v>6</v>
      </c>
      <c r="B59" s="14"/>
      <c r="C59" s="14" t="s">
        <v>103</v>
      </c>
      <c r="D59" s="15"/>
      <c r="E59" s="15"/>
      <c r="F59" s="13"/>
      <c r="G59" s="13" t="s">
        <v>65</v>
      </c>
      <c r="H59" s="16">
        <v>0.3</v>
      </c>
      <c r="I59" s="17"/>
      <c r="J59" s="17"/>
      <c r="K59" s="14" t="s">
        <v>104</v>
      </c>
    </row>
    <row r="60" spans="1:11" ht="17" x14ac:dyDescent="0.2">
      <c r="A60" s="13">
        <f t="shared" si="4"/>
        <v>7</v>
      </c>
      <c r="B60" s="14"/>
      <c r="C60" s="14" t="s">
        <v>105</v>
      </c>
      <c r="D60" s="15"/>
      <c r="E60" s="15"/>
      <c r="F60" s="13"/>
      <c r="G60" s="13" t="s">
        <v>65</v>
      </c>
      <c r="H60" s="16">
        <v>0.5</v>
      </c>
      <c r="I60" s="17"/>
      <c r="J60" s="17"/>
      <c r="K60" s="14"/>
    </row>
    <row r="61" spans="1:11" ht="68" x14ac:dyDescent="0.2">
      <c r="A61" s="13">
        <f t="shared" si="4"/>
        <v>8</v>
      </c>
      <c r="B61" s="14"/>
      <c r="C61" s="14" t="s">
        <v>106</v>
      </c>
      <c r="D61" s="15"/>
      <c r="E61" s="15"/>
      <c r="F61" s="13"/>
      <c r="G61" s="13" t="s">
        <v>65</v>
      </c>
      <c r="H61" s="16">
        <v>0.7</v>
      </c>
      <c r="I61" s="17"/>
      <c r="J61" s="17"/>
      <c r="K61" s="14" t="s">
        <v>104</v>
      </c>
    </row>
    <row r="62" spans="1:11" ht="68" x14ac:dyDescent="0.2">
      <c r="A62" s="13">
        <f t="shared" si="4"/>
        <v>9</v>
      </c>
      <c r="B62" s="14"/>
      <c r="C62" s="14" t="s">
        <v>107</v>
      </c>
      <c r="D62" s="15"/>
      <c r="E62" s="15"/>
      <c r="F62" s="13"/>
      <c r="G62" s="13" t="s">
        <v>65</v>
      </c>
      <c r="H62" s="16">
        <v>1</v>
      </c>
      <c r="I62" s="17"/>
      <c r="J62" s="17"/>
      <c r="K62" s="14" t="s">
        <v>104</v>
      </c>
    </row>
    <row r="63" spans="1:11" ht="72" x14ac:dyDescent="0.2">
      <c r="A63" s="7" t="s">
        <v>9</v>
      </c>
      <c r="B63" s="8"/>
      <c r="C63" s="8" t="s">
        <v>108</v>
      </c>
      <c r="D63" s="8"/>
      <c r="E63" s="8"/>
      <c r="F63" s="8"/>
      <c r="G63" s="7"/>
      <c r="H63" s="8"/>
      <c r="I63" s="8"/>
      <c r="J63" s="8"/>
      <c r="K63" s="7"/>
    </row>
    <row r="64" spans="1:11" ht="72" x14ac:dyDescent="0.2">
      <c r="A64" s="11" t="s">
        <v>14</v>
      </c>
      <c r="B64" s="27"/>
      <c r="C64" s="27" t="s">
        <v>109</v>
      </c>
      <c r="D64" s="20"/>
      <c r="E64" s="20"/>
      <c r="F64" s="28"/>
      <c r="G64" s="28"/>
      <c r="H64" s="28"/>
      <c r="I64" s="29"/>
      <c r="J64" s="29"/>
      <c r="K64" s="26"/>
    </row>
    <row r="65" spans="1:11" ht="119" x14ac:dyDescent="0.2">
      <c r="A65" s="13">
        <f t="shared" ref="A65:A73" si="5">IF(G65&lt;&gt;0,COUNTA($G$78:G65),"")</f>
        <v>12</v>
      </c>
      <c r="B65" s="14"/>
      <c r="C65" s="14" t="s">
        <v>110</v>
      </c>
      <c r="D65" s="15"/>
      <c r="E65" s="15"/>
      <c r="F65" s="13"/>
      <c r="G65" s="13" t="s">
        <v>65</v>
      </c>
      <c r="H65" s="16">
        <v>1</v>
      </c>
      <c r="I65" s="17">
        <v>310000</v>
      </c>
      <c r="J65" s="17"/>
      <c r="K65" s="14"/>
    </row>
    <row r="66" spans="1:11" ht="153" x14ac:dyDescent="0.2">
      <c r="A66" s="13">
        <f t="shared" si="5"/>
        <v>11</v>
      </c>
      <c r="B66" s="14"/>
      <c r="C66" s="14" t="s">
        <v>111</v>
      </c>
      <c r="D66" s="15"/>
      <c r="E66" s="15"/>
      <c r="F66" s="13"/>
      <c r="G66" s="13" t="s">
        <v>65</v>
      </c>
      <c r="H66" s="16">
        <v>1</v>
      </c>
      <c r="I66" s="17">
        <v>590000</v>
      </c>
      <c r="J66" s="17"/>
      <c r="K66" s="14"/>
    </row>
    <row r="67" spans="1:11" ht="85" x14ac:dyDescent="0.2">
      <c r="A67" s="13">
        <f t="shared" si="5"/>
        <v>10</v>
      </c>
      <c r="B67" s="14"/>
      <c r="C67" s="14" t="s">
        <v>112</v>
      </c>
      <c r="D67" s="15"/>
      <c r="E67" s="15"/>
      <c r="F67" s="13"/>
      <c r="G67" s="13" t="s">
        <v>29</v>
      </c>
      <c r="H67" s="16">
        <v>1</v>
      </c>
      <c r="I67" s="17">
        <v>300000</v>
      </c>
      <c r="J67" s="17"/>
      <c r="K67" s="14" t="s">
        <v>113</v>
      </c>
    </row>
    <row r="68" spans="1:11" ht="85" x14ac:dyDescent="0.2">
      <c r="A68" s="13">
        <f t="shared" si="5"/>
        <v>9</v>
      </c>
      <c r="B68" s="14"/>
      <c r="C68" s="14" t="s">
        <v>114</v>
      </c>
      <c r="D68" s="15"/>
      <c r="E68" s="15"/>
      <c r="F68" s="13"/>
      <c r="G68" s="13" t="s">
        <v>115</v>
      </c>
      <c r="H68" s="13">
        <v>1</v>
      </c>
      <c r="I68" s="17">
        <v>30000</v>
      </c>
      <c r="J68" s="17"/>
      <c r="K68" s="14" t="s">
        <v>116</v>
      </c>
    </row>
    <row r="69" spans="1:11" ht="119" x14ac:dyDescent="0.2">
      <c r="A69" s="13">
        <f t="shared" si="5"/>
        <v>8</v>
      </c>
      <c r="B69" s="30"/>
      <c r="C69" s="30" t="s">
        <v>117</v>
      </c>
      <c r="D69" s="31"/>
      <c r="E69" s="31"/>
      <c r="F69" s="32"/>
      <c r="G69" s="32" t="s">
        <v>26</v>
      </c>
      <c r="H69" s="32">
        <v>1</v>
      </c>
      <c r="I69" s="17">
        <v>22000</v>
      </c>
      <c r="J69" s="17"/>
      <c r="K69" s="14" t="s">
        <v>118</v>
      </c>
    </row>
    <row r="70" spans="1:11" ht="102" x14ac:dyDescent="0.2">
      <c r="A70" s="13">
        <f t="shared" si="5"/>
        <v>7</v>
      </c>
      <c r="B70" s="30"/>
      <c r="C70" s="30" t="s">
        <v>119</v>
      </c>
      <c r="D70" s="31"/>
      <c r="E70" s="31"/>
      <c r="F70" s="32"/>
      <c r="G70" s="32" t="s">
        <v>65</v>
      </c>
      <c r="H70" s="32">
        <v>1</v>
      </c>
      <c r="I70" s="17">
        <v>160000</v>
      </c>
      <c r="J70" s="17"/>
      <c r="K70" s="14"/>
    </row>
    <row r="71" spans="1:11" ht="102" x14ac:dyDescent="0.2">
      <c r="A71" s="13">
        <f t="shared" si="5"/>
        <v>6</v>
      </c>
      <c r="B71" s="30"/>
      <c r="C71" s="30" t="s">
        <v>120</v>
      </c>
      <c r="D71" s="31"/>
      <c r="E71" s="31"/>
      <c r="F71" s="32"/>
      <c r="G71" s="32" t="s">
        <v>65</v>
      </c>
      <c r="H71" s="32">
        <v>1</v>
      </c>
      <c r="I71" s="17">
        <v>150000</v>
      </c>
      <c r="J71" s="17"/>
      <c r="K71" s="14"/>
    </row>
    <row r="72" spans="1:11" ht="136" x14ac:dyDescent="0.2">
      <c r="A72" s="13">
        <f t="shared" si="5"/>
        <v>5</v>
      </c>
      <c r="B72" s="30"/>
      <c r="C72" s="30" t="s">
        <v>121</v>
      </c>
      <c r="D72" s="31"/>
      <c r="E72" s="31"/>
      <c r="F72" s="32"/>
      <c r="G72" s="32" t="s">
        <v>26</v>
      </c>
      <c r="H72" s="32">
        <v>1</v>
      </c>
      <c r="I72" s="17">
        <v>76000</v>
      </c>
      <c r="J72" s="17"/>
      <c r="K72" s="14"/>
    </row>
    <row r="73" spans="1:11" ht="136" x14ac:dyDescent="0.2">
      <c r="A73" s="13">
        <f t="shared" si="5"/>
        <v>4</v>
      </c>
      <c r="B73" s="30"/>
      <c r="C73" s="30" t="s">
        <v>122</v>
      </c>
      <c r="D73" s="31"/>
      <c r="E73" s="31"/>
      <c r="F73" s="32"/>
      <c r="G73" s="32" t="s">
        <v>26</v>
      </c>
      <c r="H73" s="32">
        <v>1</v>
      </c>
      <c r="I73" s="17">
        <v>120000</v>
      </c>
      <c r="J73" s="17"/>
      <c r="K73" s="14"/>
    </row>
    <row r="74" spans="1:11" ht="72" x14ac:dyDescent="0.2">
      <c r="A74" s="11" t="s">
        <v>50</v>
      </c>
      <c r="B74" s="27"/>
      <c r="C74" s="27" t="s">
        <v>123</v>
      </c>
      <c r="D74" s="20"/>
      <c r="E74" s="20"/>
      <c r="F74" s="28"/>
      <c r="G74" s="28"/>
      <c r="H74" s="28"/>
      <c r="I74" s="29"/>
      <c r="J74" s="29"/>
      <c r="K74" s="26"/>
    </row>
    <row r="75" spans="1:11" ht="85" x14ac:dyDescent="0.2">
      <c r="A75" s="13">
        <f t="shared" ref="A75:A76" si="6">IF(G75&lt;&gt;0,COUNTA($G$78:G65),"")</f>
        <v>12</v>
      </c>
      <c r="B75" s="30"/>
      <c r="C75" s="30" t="s">
        <v>124</v>
      </c>
      <c r="D75" s="15"/>
      <c r="E75" s="15"/>
      <c r="F75" s="13"/>
      <c r="G75" s="13" t="s">
        <v>65</v>
      </c>
      <c r="H75" s="13">
        <v>1</v>
      </c>
      <c r="I75" s="17">
        <v>135000</v>
      </c>
      <c r="J75" s="17"/>
      <c r="K75" s="14"/>
    </row>
    <row r="76" spans="1:11" ht="153" x14ac:dyDescent="0.2">
      <c r="A76" s="13">
        <f t="shared" si="6"/>
        <v>11</v>
      </c>
      <c r="B76" s="14"/>
      <c r="C76" s="14" t="s">
        <v>125</v>
      </c>
      <c r="D76" s="15"/>
      <c r="E76" s="15"/>
      <c r="F76" s="13"/>
      <c r="G76" s="13" t="s">
        <v>65</v>
      </c>
      <c r="H76" s="13">
        <v>1</v>
      </c>
      <c r="I76" s="17">
        <v>225000</v>
      </c>
      <c r="J76" s="17"/>
      <c r="K76" s="14" t="s">
        <v>126</v>
      </c>
    </row>
    <row r="77" spans="1:11" ht="36" x14ac:dyDescent="0.2">
      <c r="A77" s="11" t="s">
        <v>81</v>
      </c>
      <c r="B77" s="27"/>
      <c r="C77" s="27" t="s">
        <v>127</v>
      </c>
      <c r="D77" s="20"/>
      <c r="E77" s="20"/>
      <c r="F77" s="28"/>
      <c r="G77" s="28"/>
      <c r="H77" s="28"/>
      <c r="I77" s="29"/>
      <c r="J77" s="29"/>
      <c r="K77" s="26"/>
    </row>
    <row r="78" spans="1:11" ht="51" x14ac:dyDescent="0.2">
      <c r="A78" s="13">
        <f t="shared" ref="A78:A85" si="7">IF(G78&lt;&gt;0,COUNTA($G$91:G78),"")</f>
        <v>12</v>
      </c>
      <c r="B78" s="14"/>
      <c r="C78" s="14" t="s">
        <v>128</v>
      </c>
      <c r="D78" s="15"/>
      <c r="E78" s="15"/>
      <c r="F78" s="13"/>
      <c r="G78" s="13" t="s">
        <v>65</v>
      </c>
      <c r="H78" s="13">
        <v>1</v>
      </c>
      <c r="I78" s="17">
        <v>150000</v>
      </c>
      <c r="J78" s="17"/>
      <c r="K78" s="14" t="s">
        <v>129</v>
      </c>
    </row>
    <row r="79" spans="1:11" ht="85" x14ac:dyDescent="0.2">
      <c r="A79" s="13">
        <f t="shared" si="7"/>
        <v>11</v>
      </c>
      <c r="B79" s="14"/>
      <c r="C79" s="14" t="s">
        <v>128</v>
      </c>
      <c r="D79" s="15"/>
      <c r="E79" s="15"/>
      <c r="F79" s="13"/>
      <c r="G79" s="13" t="s">
        <v>65</v>
      </c>
      <c r="H79" s="13">
        <v>1</v>
      </c>
      <c r="I79" s="17">
        <v>180000</v>
      </c>
      <c r="J79" s="17"/>
      <c r="K79" s="14" t="s">
        <v>130</v>
      </c>
    </row>
    <row r="80" spans="1:11" ht="51" x14ac:dyDescent="0.2">
      <c r="A80" s="13">
        <f t="shared" si="7"/>
        <v>10</v>
      </c>
      <c r="B80" s="14"/>
      <c r="C80" s="14" t="s">
        <v>131</v>
      </c>
      <c r="D80" s="15"/>
      <c r="E80" s="15"/>
      <c r="F80" s="13"/>
      <c r="G80" s="13" t="s">
        <v>65</v>
      </c>
      <c r="H80" s="16">
        <v>1</v>
      </c>
      <c r="I80" s="17">
        <v>160000</v>
      </c>
      <c r="J80" s="17"/>
      <c r="K80" s="14" t="s">
        <v>129</v>
      </c>
    </row>
    <row r="81" spans="1:11" ht="85" x14ac:dyDescent="0.2">
      <c r="A81" s="13">
        <f t="shared" si="7"/>
        <v>9</v>
      </c>
      <c r="B81" s="14"/>
      <c r="C81" s="14" t="s">
        <v>131</v>
      </c>
      <c r="D81" s="15"/>
      <c r="E81" s="15"/>
      <c r="F81" s="13"/>
      <c r="G81" s="13" t="s">
        <v>65</v>
      </c>
      <c r="H81" s="16">
        <v>1</v>
      </c>
      <c r="I81" s="17">
        <v>190000</v>
      </c>
      <c r="J81" s="17"/>
      <c r="K81" s="14" t="s">
        <v>130</v>
      </c>
    </row>
    <row r="82" spans="1:11" ht="68" x14ac:dyDescent="0.2">
      <c r="A82" s="13">
        <f t="shared" si="7"/>
        <v>8</v>
      </c>
      <c r="B82" s="14"/>
      <c r="C82" s="14" t="s">
        <v>132</v>
      </c>
      <c r="D82" s="15"/>
      <c r="E82" s="15"/>
      <c r="F82" s="13"/>
      <c r="G82" s="13" t="s">
        <v>65</v>
      </c>
      <c r="H82" s="16">
        <v>1</v>
      </c>
      <c r="I82" s="17">
        <v>100000</v>
      </c>
      <c r="J82" s="17"/>
      <c r="K82" s="14" t="s">
        <v>133</v>
      </c>
    </row>
    <row r="83" spans="1:11" ht="85" x14ac:dyDescent="0.2">
      <c r="A83" s="13">
        <f t="shared" si="7"/>
        <v>7</v>
      </c>
      <c r="B83" s="14"/>
      <c r="C83" s="14" t="s">
        <v>134</v>
      </c>
      <c r="D83" s="15"/>
      <c r="E83" s="15"/>
      <c r="F83" s="13"/>
      <c r="G83" s="13" t="s">
        <v>65</v>
      </c>
      <c r="H83" s="16">
        <v>1</v>
      </c>
      <c r="I83" s="17">
        <v>70000</v>
      </c>
      <c r="J83" s="17"/>
      <c r="K83" s="14" t="s">
        <v>135</v>
      </c>
    </row>
    <row r="84" spans="1:11" ht="102" x14ac:dyDescent="0.2">
      <c r="A84" s="13">
        <f t="shared" si="7"/>
        <v>6</v>
      </c>
      <c r="B84" s="14"/>
      <c r="C84" s="14" t="s">
        <v>136</v>
      </c>
      <c r="D84" s="15"/>
      <c r="E84" s="15"/>
      <c r="F84" s="13"/>
      <c r="G84" s="13" t="s">
        <v>65</v>
      </c>
      <c r="H84" s="13">
        <v>1</v>
      </c>
      <c r="I84" s="17">
        <v>120000</v>
      </c>
      <c r="J84" s="17"/>
      <c r="K84" s="14" t="s">
        <v>137</v>
      </c>
    </row>
    <row r="85" spans="1:11" ht="102" x14ac:dyDescent="0.2">
      <c r="A85" s="13">
        <f t="shared" si="7"/>
        <v>5</v>
      </c>
      <c r="B85" s="14"/>
      <c r="C85" s="14" t="s">
        <v>138</v>
      </c>
      <c r="D85" s="15"/>
      <c r="E85" s="15"/>
      <c r="F85" s="13"/>
      <c r="G85" s="13" t="s">
        <v>65</v>
      </c>
      <c r="H85" s="13">
        <v>1</v>
      </c>
      <c r="I85" s="17">
        <v>230000</v>
      </c>
      <c r="J85" s="17"/>
      <c r="K85" s="14" t="s">
        <v>137</v>
      </c>
    </row>
    <row r="86" spans="1:11" ht="72" x14ac:dyDescent="0.2">
      <c r="A86" s="7" t="s">
        <v>139</v>
      </c>
      <c r="B86" s="8"/>
      <c r="C86" s="8" t="s">
        <v>140</v>
      </c>
      <c r="D86" s="8"/>
      <c r="E86" s="8"/>
      <c r="F86" s="8"/>
      <c r="G86" s="7"/>
      <c r="H86" s="8"/>
      <c r="I86" s="8"/>
      <c r="J86" s="8"/>
      <c r="K86" s="7"/>
    </row>
    <row r="87" spans="1:11" ht="36" x14ac:dyDescent="0.2">
      <c r="A87" s="11" t="s">
        <v>14</v>
      </c>
      <c r="B87" s="27"/>
      <c r="C87" s="27" t="s">
        <v>141</v>
      </c>
      <c r="D87" s="20"/>
      <c r="E87" s="20"/>
      <c r="F87" s="28"/>
      <c r="G87" s="28"/>
      <c r="H87" s="28"/>
      <c r="I87" s="29"/>
      <c r="J87" s="29"/>
      <c r="K87" s="26"/>
    </row>
    <row r="88" spans="1:11" ht="153" x14ac:dyDescent="0.2">
      <c r="A88" s="13">
        <f t="shared" ref="A88:A101" si="8">IF(G88&lt;&gt;0,COUNTA($G$101:G88),"")</f>
        <v>14</v>
      </c>
      <c r="B88" s="30"/>
      <c r="C88" s="30" t="s">
        <v>142</v>
      </c>
      <c r="D88" s="15"/>
      <c r="E88" s="15"/>
      <c r="F88" s="13"/>
      <c r="G88" s="13" t="s">
        <v>65</v>
      </c>
      <c r="H88" s="13">
        <v>1</v>
      </c>
      <c r="I88" s="17">
        <v>165000</v>
      </c>
      <c r="J88" s="17"/>
      <c r="K88" s="14" t="s">
        <v>143</v>
      </c>
    </row>
    <row r="89" spans="1:11" ht="187" x14ac:dyDescent="0.2">
      <c r="A89" s="13">
        <f t="shared" si="8"/>
        <v>13</v>
      </c>
      <c r="B89" s="30"/>
      <c r="C89" s="30" t="s">
        <v>144</v>
      </c>
      <c r="D89" s="15"/>
      <c r="E89" s="15"/>
      <c r="F89" s="13"/>
      <c r="G89" s="13" t="s">
        <v>65</v>
      </c>
      <c r="H89" s="13">
        <v>1</v>
      </c>
      <c r="I89" s="17">
        <v>175000</v>
      </c>
      <c r="J89" s="17"/>
      <c r="K89" s="14" t="s">
        <v>145</v>
      </c>
    </row>
    <row r="90" spans="1:11" ht="153" x14ac:dyDescent="0.2">
      <c r="A90" s="13">
        <f t="shared" si="8"/>
        <v>12</v>
      </c>
      <c r="B90" s="30"/>
      <c r="C90" s="30" t="s">
        <v>142</v>
      </c>
      <c r="D90" s="15"/>
      <c r="E90" s="15"/>
      <c r="F90" s="13"/>
      <c r="G90" s="13" t="s">
        <v>65</v>
      </c>
      <c r="H90" s="13">
        <v>1</v>
      </c>
      <c r="I90" s="17">
        <v>190000</v>
      </c>
      <c r="J90" s="17"/>
      <c r="K90" s="14" t="s">
        <v>146</v>
      </c>
    </row>
    <row r="91" spans="1:11" ht="187" x14ac:dyDescent="0.2">
      <c r="A91" s="13">
        <f t="shared" si="8"/>
        <v>11</v>
      </c>
      <c r="B91" s="30"/>
      <c r="C91" s="30" t="s">
        <v>144</v>
      </c>
      <c r="D91" s="15"/>
      <c r="E91" s="15"/>
      <c r="F91" s="13"/>
      <c r="G91" s="13" t="s">
        <v>65</v>
      </c>
      <c r="H91" s="13">
        <v>1</v>
      </c>
      <c r="I91" s="17">
        <v>200000</v>
      </c>
      <c r="J91" s="17"/>
      <c r="K91" s="14" t="s">
        <v>147</v>
      </c>
    </row>
    <row r="92" spans="1:11" ht="170" x14ac:dyDescent="0.2">
      <c r="A92" s="13">
        <f t="shared" si="8"/>
        <v>10</v>
      </c>
      <c r="B92" s="30"/>
      <c r="C92" s="30" t="s">
        <v>142</v>
      </c>
      <c r="D92" s="15"/>
      <c r="E92" s="15"/>
      <c r="F92" s="13"/>
      <c r="G92" s="13" t="s">
        <v>65</v>
      </c>
      <c r="H92" s="13">
        <v>1</v>
      </c>
      <c r="I92" s="17">
        <v>230000</v>
      </c>
      <c r="J92" s="17"/>
      <c r="K92" s="14" t="s">
        <v>148</v>
      </c>
    </row>
    <row r="93" spans="1:11" ht="204" x14ac:dyDescent="0.2">
      <c r="A93" s="13">
        <f t="shared" si="8"/>
        <v>9</v>
      </c>
      <c r="B93" s="30"/>
      <c r="C93" s="30" t="s">
        <v>144</v>
      </c>
      <c r="D93" s="15"/>
      <c r="E93" s="15"/>
      <c r="F93" s="13"/>
      <c r="G93" s="13" t="s">
        <v>65</v>
      </c>
      <c r="H93" s="13">
        <v>1</v>
      </c>
      <c r="I93" s="17">
        <v>240000</v>
      </c>
      <c r="J93" s="17"/>
      <c r="K93" s="14" t="s">
        <v>149</v>
      </c>
    </row>
    <row r="94" spans="1:11" ht="153" x14ac:dyDescent="0.2">
      <c r="A94" s="13">
        <f t="shared" si="8"/>
        <v>8</v>
      </c>
      <c r="B94" s="30"/>
      <c r="C94" s="30" t="s">
        <v>142</v>
      </c>
      <c r="D94" s="15"/>
      <c r="E94" s="15"/>
      <c r="F94" s="13"/>
      <c r="G94" s="13" t="s">
        <v>65</v>
      </c>
      <c r="H94" s="13">
        <v>1</v>
      </c>
      <c r="I94" s="17">
        <v>315000</v>
      </c>
      <c r="J94" s="17"/>
      <c r="K94" s="14" t="s">
        <v>150</v>
      </c>
    </row>
    <row r="95" spans="1:11" ht="187" x14ac:dyDescent="0.2">
      <c r="A95" s="13">
        <f t="shared" si="8"/>
        <v>7</v>
      </c>
      <c r="B95" s="30"/>
      <c r="C95" s="30" t="s">
        <v>144</v>
      </c>
      <c r="D95" s="15"/>
      <c r="E95" s="15"/>
      <c r="F95" s="13"/>
      <c r="G95" s="13" t="s">
        <v>65</v>
      </c>
      <c r="H95" s="13">
        <v>1</v>
      </c>
      <c r="I95" s="17">
        <v>325000</v>
      </c>
      <c r="J95" s="17"/>
      <c r="K95" s="14" t="s">
        <v>151</v>
      </c>
    </row>
    <row r="96" spans="1:11" ht="51" x14ac:dyDescent="0.2">
      <c r="A96" s="13">
        <f t="shared" si="8"/>
        <v>6</v>
      </c>
      <c r="B96" s="14"/>
      <c r="C96" s="14" t="s">
        <v>152</v>
      </c>
      <c r="D96" s="15"/>
      <c r="E96" s="15"/>
      <c r="F96" s="13"/>
      <c r="G96" s="13" t="s">
        <v>115</v>
      </c>
      <c r="H96" s="13">
        <v>1</v>
      </c>
      <c r="I96" s="17">
        <v>75000</v>
      </c>
      <c r="J96" s="17"/>
      <c r="K96" s="14"/>
    </row>
    <row r="97" spans="1:11" ht="153" x14ac:dyDescent="0.2">
      <c r="A97" s="13">
        <f t="shared" si="8"/>
        <v>5</v>
      </c>
      <c r="B97" s="14"/>
      <c r="C97" s="14" t="s">
        <v>153</v>
      </c>
      <c r="D97" s="15"/>
      <c r="E97" s="15"/>
      <c r="F97" s="13"/>
      <c r="G97" s="13" t="s">
        <v>65</v>
      </c>
      <c r="H97" s="13">
        <v>1</v>
      </c>
      <c r="I97" s="17">
        <v>220000</v>
      </c>
      <c r="J97" s="17"/>
      <c r="K97" s="14" t="s">
        <v>154</v>
      </c>
    </row>
    <row r="98" spans="1:11" ht="153" x14ac:dyDescent="0.2">
      <c r="A98" s="13">
        <f t="shared" si="8"/>
        <v>4</v>
      </c>
      <c r="B98" s="14"/>
      <c r="C98" s="14" t="s">
        <v>155</v>
      </c>
      <c r="D98" s="15"/>
      <c r="E98" s="15"/>
      <c r="F98" s="13"/>
      <c r="G98" s="13" t="s">
        <v>65</v>
      </c>
      <c r="H98" s="13">
        <v>1</v>
      </c>
      <c r="I98" s="17">
        <v>320000</v>
      </c>
      <c r="J98" s="17"/>
      <c r="K98" s="14" t="s">
        <v>156</v>
      </c>
    </row>
    <row r="99" spans="1:11" ht="238" x14ac:dyDescent="0.2">
      <c r="A99" s="13">
        <f t="shared" si="8"/>
        <v>3</v>
      </c>
      <c r="B99" s="14"/>
      <c r="C99" s="14" t="s">
        <v>157</v>
      </c>
      <c r="D99" s="15"/>
      <c r="E99" s="15"/>
      <c r="F99" s="13"/>
      <c r="G99" s="13" t="s">
        <v>65</v>
      </c>
      <c r="H99" s="13">
        <v>1</v>
      </c>
      <c r="I99" s="17">
        <v>410000</v>
      </c>
      <c r="J99" s="17"/>
      <c r="K99" s="14" t="s">
        <v>158</v>
      </c>
    </row>
    <row r="100" spans="1:11" ht="68" x14ac:dyDescent="0.2">
      <c r="A100" s="13">
        <f t="shared" si="8"/>
        <v>2</v>
      </c>
      <c r="B100" s="14"/>
      <c r="C100" s="14" t="s">
        <v>159</v>
      </c>
      <c r="D100" s="15"/>
      <c r="E100" s="15"/>
      <c r="F100" s="13"/>
      <c r="G100" s="13" t="s">
        <v>29</v>
      </c>
      <c r="H100" s="13">
        <v>1</v>
      </c>
      <c r="I100" s="17">
        <v>350000</v>
      </c>
      <c r="J100" s="17"/>
      <c r="K100" s="14" t="s">
        <v>160</v>
      </c>
    </row>
    <row r="101" spans="1:11" ht="68" x14ac:dyDescent="0.2">
      <c r="A101" s="13">
        <f t="shared" si="8"/>
        <v>1</v>
      </c>
      <c r="B101" s="14"/>
      <c r="C101" s="14" t="s">
        <v>161</v>
      </c>
      <c r="D101" s="15"/>
      <c r="E101" s="15"/>
      <c r="F101" s="13"/>
      <c r="G101" s="13" t="s">
        <v>29</v>
      </c>
      <c r="H101" s="13">
        <v>1</v>
      </c>
      <c r="I101" s="17">
        <v>450000</v>
      </c>
      <c r="J101" s="17"/>
      <c r="K101" s="14" t="s">
        <v>160</v>
      </c>
    </row>
    <row r="102" spans="1:11" ht="36" x14ac:dyDescent="0.2">
      <c r="A102" s="11" t="s">
        <v>50</v>
      </c>
      <c r="B102" s="27"/>
      <c r="C102" s="27" t="s">
        <v>162</v>
      </c>
      <c r="D102" s="20"/>
      <c r="E102" s="20"/>
      <c r="F102" s="28"/>
      <c r="G102" s="28"/>
      <c r="H102" s="28"/>
      <c r="I102" s="29"/>
      <c r="J102" s="29"/>
      <c r="K102" s="26"/>
    </row>
    <row r="103" spans="1:11" ht="68" x14ac:dyDescent="0.2">
      <c r="A103" s="13">
        <f t="shared" ref="A103:A106" si="9">IF(G103&lt;&gt;0,COUNTA($G$101:G88),"")</f>
        <v>14</v>
      </c>
      <c r="B103" s="14"/>
      <c r="C103" s="14" t="s">
        <v>163</v>
      </c>
      <c r="D103" s="15"/>
      <c r="E103" s="15"/>
      <c r="F103" s="13"/>
      <c r="G103" s="13" t="s">
        <v>65</v>
      </c>
      <c r="H103" s="13">
        <v>1</v>
      </c>
      <c r="I103" s="17">
        <v>50000</v>
      </c>
      <c r="J103" s="17"/>
      <c r="K103" s="14" t="s">
        <v>164</v>
      </c>
    </row>
    <row r="104" spans="1:11" ht="51" x14ac:dyDescent="0.2">
      <c r="A104" s="13">
        <f t="shared" si="9"/>
        <v>13</v>
      </c>
      <c r="B104" s="14"/>
      <c r="C104" s="14" t="s">
        <v>165</v>
      </c>
      <c r="D104" s="15"/>
      <c r="E104" s="15"/>
      <c r="F104" s="13"/>
      <c r="G104" s="13" t="s">
        <v>65</v>
      </c>
      <c r="H104" s="13">
        <v>1</v>
      </c>
      <c r="I104" s="17">
        <v>40000</v>
      </c>
      <c r="J104" s="17"/>
      <c r="K104" s="14" t="s">
        <v>166</v>
      </c>
    </row>
    <row r="105" spans="1:11" ht="102" x14ac:dyDescent="0.2">
      <c r="A105" s="13">
        <f t="shared" si="9"/>
        <v>12</v>
      </c>
      <c r="B105" s="14"/>
      <c r="C105" s="14" t="s">
        <v>167</v>
      </c>
      <c r="D105" s="15"/>
      <c r="E105" s="15"/>
      <c r="F105" s="13"/>
      <c r="G105" s="13" t="s">
        <v>65</v>
      </c>
      <c r="H105" s="13">
        <v>1</v>
      </c>
      <c r="I105" s="17">
        <v>90000</v>
      </c>
      <c r="J105" s="17"/>
      <c r="K105" s="14" t="s">
        <v>168</v>
      </c>
    </row>
    <row r="106" spans="1:11" ht="68" x14ac:dyDescent="0.2">
      <c r="A106" s="13">
        <f t="shared" si="9"/>
        <v>11</v>
      </c>
      <c r="B106" s="14"/>
      <c r="C106" s="14" t="s">
        <v>169</v>
      </c>
      <c r="D106" s="15"/>
      <c r="E106" s="15"/>
      <c r="F106" s="13"/>
      <c r="G106" s="13" t="s">
        <v>65</v>
      </c>
      <c r="H106" s="13">
        <v>1</v>
      </c>
      <c r="I106" s="17">
        <v>80000</v>
      </c>
      <c r="J106" s="17"/>
      <c r="K106" s="14" t="s">
        <v>170</v>
      </c>
    </row>
    <row r="107" spans="1:11" ht="34" x14ac:dyDescent="0.2">
      <c r="A107" s="13">
        <f t="shared" ref="A107:A108" si="10">IF(G107&lt;&gt;0,COUNTA($G$101:G94),"")</f>
        <v>8</v>
      </c>
      <c r="B107" s="14"/>
      <c r="C107" s="14" t="s">
        <v>171</v>
      </c>
      <c r="D107" s="15"/>
      <c r="E107" s="15"/>
      <c r="F107" s="13"/>
      <c r="G107" s="13" t="s">
        <v>65</v>
      </c>
      <c r="H107" s="13">
        <v>1</v>
      </c>
      <c r="I107" s="33">
        <v>350000</v>
      </c>
      <c r="J107" s="33"/>
      <c r="K107" s="34" t="s">
        <v>172</v>
      </c>
    </row>
    <row r="108" spans="1:11" ht="34" x14ac:dyDescent="0.2">
      <c r="A108" s="13">
        <f t="shared" si="10"/>
        <v>7</v>
      </c>
      <c r="B108" s="14"/>
      <c r="C108" s="14" t="s">
        <v>173</v>
      </c>
      <c r="D108" s="15"/>
      <c r="E108" s="15"/>
      <c r="F108" s="13"/>
      <c r="G108" s="13" t="s">
        <v>65</v>
      </c>
      <c r="H108" s="13">
        <v>1</v>
      </c>
      <c r="I108" s="17">
        <v>500000</v>
      </c>
      <c r="J108" s="17"/>
      <c r="K108" s="14" t="s">
        <v>174</v>
      </c>
    </row>
    <row r="109" spans="1:11" ht="18" x14ac:dyDescent="0.2">
      <c r="A109" s="11" t="s">
        <v>81</v>
      </c>
      <c r="B109" s="27"/>
      <c r="C109" s="27" t="s">
        <v>175</v>
      </c>
      <c r="D109" s="20"/>
      <c r="E109" s="20"/>
      <c r="F109" s="28"/>
      <c r="G109" s="28"/>
      <c r="H109" s="28"/>
      <c r="I109" s="29"/>
      <c r="J109" s="29"/>
      <c r="K109" s="26"/>
    </row>
    <row r="110" spans="1:11" ht="68" x14ac:dyDescent="0.2">
      <c r="A110" s="13">
        <f t="shared" ref="A110:A125" si="11">IF(G110&lt;&gt;0,COUNTA($G$123:G110),"")</f>
        <v>14</v>
      </c>
      <c r="B110" s="14"/>
      <c r="C110" s="14" t="s">
        <v>176</v>
      </c>
      <c r="D110" s="15"/>
      <c r="E110" s="15"/>
      <c r="F110" s="13"/>
      <c r="G110" s="13" t="s">
        <v>65</v>
      </c>
      <c r="H110" s="13">
        <v>1</v>
      </c>
      <c r="I110" s="17">
        <v>4000000</v>
      </c>
      <c r="J110" s="17"/>
      <c r="K110" s="14" t="s">
        <v>177</v>
      </c>
    </row>
    <row r="111" spans="1:11" ht="34" x14ac:dyDescent="0.2">
      <c r="A111" s="13">
        <f t="shared" si="11"/>
        <v>13</v>
      </c>
      <c r="B111" s="14"/>
      <c r="C111" s="14" t="s">
        <v>178</v>
      </c>
      <c r="D111" s="15"/>
      <c r="E111" s="15"/>
      <c r="F111" s="13"/>
      <c r="G111" s="13" t="s">
        <v>65</v>
      </c>
      <c r="H111" s="13">
        <v>1</v>
      </c>
      <c r="I111" s="17">
        <v>1600000</v>
      </c>
      <c r="J111" s="17"/>
      <c r="K111" s="14" t="s">
        <v>179</v>
      </c>
    </row>
    <row r="112" spans="1:11" ht="68" x14ac:dyDescent="0.2">
      <c r="A112" s="13">
        <f t="shared" si="11"/>
        <v>12</v>
      </c>
      <c r="B112" s="14"/>
      <c r="C112" s="14" t="s">
        <v>180</v>
      </c>
      <c r="D112" s="15"/>
      <c r="E112" s="15"/>
      <c r="F112" s="13"/>
      <c r="G112" s="13" t="s">
        <v>65</v>
      </c>
      <c r="H112" s="13">
        <v>1</v>
      </c>
      <c r="I112" s="17">
        <v>1700000</v>
      </c>
      <c r="J112" s="17"/>
      <c r="K112" s="14" t="s">
        <v>181</v>
      </c>
    </row>
    <row r="113" spans="1:11" ht="51" x14ac:dyDescent="0.2">
      <c r="A113" s="13">
        <f t="shared" si="11"/>
        <v>11</v>
      </c>
      <c r="B113" s="14"/>
      <c r="C113" s="14" t="s">
        <v>182</v>
      </c>
      <c r="D113" s="15"/>
      <c r="E113" s="15"/>
      <c r="F113" s="13"/>
      <c r="G113" s="13" t="s">
        <v>65</v>
      </c>
      <c r="H113" s="13">
        <v>1</v>
      </c>
      <c r="I113" s="35" t="s">
        <v>183</v>
      </c>
      <c r="J113" s="17"/>
      <c r="K113" s="14"/>
    </row>
    <row r="114" spans="1:11" ht="68" x14ac:dyDescent="0.2">
      <c r="A114" s="13">
        <f t="shared" si="11"/>
        <v>10</v>
      </c>
      <c r="B114" s="14"/>
      <c r="C114" s="14" t="s">
        <v>184</v>
      </c>
      <c r="D114" s="15"/>
      <c r="E114" s="15"/>
      <c r="F114" s="13"/>
      <c r="G114" s="13" t="s">
        <v>65</v>
      </c>
      <c r="H114" s="13">
        <v>1</v>
      </c>
      <c r="I114" s="35" t="s">
        <v>185</v>
      </c>
      <c r="J114" s="17"/>
      <c r="K114" s="14"/>
    </row>
    <row r="115" spans="1:11" ht="68" x14ac:dyDescent="0.2">
      <c r="A115" s="13">
        <f t="shared" si="11"/>
        <v>9</v>
      </c>
      <c r="B115" s="14"/>
      <c r="C115" s="14" t="s">
        <v>186</v>
      </c>
      <c r="D115" s="15"/>
      <c r="E115" s="15"/>
      <c r="F115" s="13"/>
      <c r="G115" s="13" t="s">
        <v>65</v>
      </c>
      <c r="H115" s="13">
        <v>1</v>
      </c>
      <c r="I115" s="35" t="s">
        <v>187</v>
      </c>
      <c r="J115" s="17"/>
      <c r="K115" s="14"/>
    </row>
    <row r="116" spans="1:11" ht="68" x14ac:dyDescent="0.2">
      <c r="A116" s="13">
        <f t="shared" si="11"/>
        <v>8</v>
      </c>
      <c r="B116" s="14"/>
      <c r="C116" s="14" t="s">
        <v>188</v>
      </c>
      <c r="D116" s="15"/>
      <c r="E116" s="15"/>
      <c r="F116" s="13"/>
      <c r="G116" s="13" t="s">
        <v>65</v>
      </c>
      <c r="H116" s="13">
        <v>1</v>
      </c>
      <c r="I116" s="35" t="s">
        <v>189</v>
      </c>
      <c r="J116" s="17"/>
      <c r="K116" s="14"/>
    </row>
    <row r="117" spans="1:11" ht="68" x14ac:dyDescent="0.2">
      <c r="A117" s="13">
        <f t="shared" si="11"/>
        <v>7</v>
      </c>
      <c r="B117" s="14"/>
      <c r="C117" s="14" t="s">
        <v>190</v>
      </c>
      <c r="D117" s="15"/>
      <c r="E117" s="15"/>
      <c r="F117" s="13"/>
      <c r="G117" s="13" t="s">
        <v>65</v>
      </c>
      <c r="H117" s="13">
        <v>1</v>
      </c>
      <c r="I117" s="35" t="s">
        <v>191</v>
      </c>
      <c r="J117" s="17"/>
      <c r="K117" s="14" t="s">
        <v>192</v>
      </c>
    </row>
    <row r="118" spans="1:11" ht="51" x14ac:dyDescent="0.2">
      <c r="A118" s="13">
        <f t="shared" si="11"/>
        <v>6</v>
      </c>
      <c r="B118" s="14"/>
      <c r="C118" s="14" t="s">
        <v>193</v>
      </c>
      <c r="D118" s="15"/>
      <c r="E118" s="15"/>
      <c r="F118" s="13"/>
      <c r="G118" s="13" t="s">
        <v>65</v>
      </c>
      <c r="H118" s="13">
        <v>1</v>
      </c>
      <c r="I118" s="17">
        <f>2650000+600000</f>
        <v>3250000</v>
      </c>
      <c r="J118" s="17"/>
      <c r="K118" s="14" t="s">
        <v>194</v>
      </c>
    </row>
    <row r="119" spans="1:11" ht="51" x14ac:dyDescent="0.2">
      <c r="A119" s="13">
        <f t="shared" si="11"/>
        <v>5</v>
      </c>
      <c r="B119" s="14"/>
      <c r="C119" s="14" t="s">
        <v>193</v>
      </c>
      <c r="D119" s="15"/>
      <c r="E119" s="15"/>
      <c r="F119" s="13"/>
      <c r="G119" s="13" t="s">
        <v>65</v>
      </c>
      <c r="H119" s="13">
        <v>1</v>
      </c>
      <c r="I119" s="17">
        <f>4200000+600000</f>
        <v>4800000</v>
      </c>
      <c r="J119" s="17"/>
      <c r="K119" s="14" t="s">
        <v>195</v>
      </c>
    </row>
    <row r="120" spans="1:11" ht="51" x14ac:dyDescent="0.2">
      <c r="A120" s="13">
        <f t="shared" si="11"/>
        <v>4</v>
      </c>
      <c r="B120" s="14"/>
      <c r="C120" s="14" t="s">
        <v>193</v>
      </c>
      <c r="D120" s="15"/>
      <c r="E120" s="15"/>
      <c r="F120" s="13"/>
      <c r="G120" s="13" t="s">
        <v>65</v>
      </c>
      <c r="H120" s="13">
        <v>1</v>
      </c>
      <c r="I120" s="17">
        <f>5400000+600000</f>
        <v>6000000</v>
      </c>
      <c r="J120" s="17"/>
      <c r="K120" s="14" t="s">
        <v>196</v>
      </c>
    </row>
    <row r="121" spans="1:11" ht="51" x14ac:dyDescent="0.2">
      <c r="A121" s="13">
        <f t="shared" si="11"/>
        <v>3</v>
      </c>
      <c r="B121" s="14"/>
      <c r="C121" s="14" t="s">
        <v>193</v>
      </c>
      <c r="D121" s="15"/>
      <c r="E121" s="15"/>
      <c r="F121" s="13"/>
      <c r="G121" s="13" t="s">
        <v>65</v>
      </c>
      <c r="H121" s="13">
        <v>1</v>
      </c>
      <c r="I121" s="17">
        <f>7100000+600000</f>
        <v>7700000</v>
      </c>
      <c r="J121" s="17"/>
      <c r="K121" s="14" t="s">
        <v>197</v>
      </c>
    </row>
    <row r="122" spans="1:11" ht="51" x14ac:dyDescent="0.2">
      <c r="A122" s="13">
        <f t="shared" si="11"/>
        <v>2</v>
      </c>
      <c r="B122" s="14"/>
      <c r="C122" s="14" t="s">
        <v>193</v>
      </c>
      <c r="D122" s="15"/>
      <c r="E122" s="15"/>
      <c r="F122" s="13"/>
      <c r="G122" s="13" t="s">
        <v>65</v>
      </c>
      <c r="H122" s="13">
        <v>1</v>
      </c>
      <c r="I122" s="17">
        <f>8800000+600000</f>
        <v>9400000</v>
      </c>
      <c r="J122" s="17"/>
      <c r="K122" s="14" t="s">
        <v>198</v>
      </c>
    </row>
    <row r="123" spans="1:11" ht="51" x14ac:dyDescent="0.2">
      <c r="A123" s="13">
        <f t="shared" si="11"/>
        <v>1</v>
      </c>
      <c r="B123" s="14"/>
      <c r="C123" s="14" t="s">
        <v>193</v>
      </c>
      <c r="D123" s="15"/>
      <c r="E123" s="15"/>
      <c r="F123" s="13"/>
      <c r="G123" s="13" t="s">
        <v>65</v>
      </c>
      <c r="H123" s="13">
        <v>1</v>
      </c>
      <c r="I123" s="17">
        <f>10500000+600000</f>
        <v>11100000</v>
      </c>
      <c r="J123" s="17"/>
      <c r="K123" s="14" t="s">
        <v>199</v>
      </c>
    </row>
    <row r="124" spans="1:11" ht="51" x14ac:dyDescent="0.2">
      <c r="A124" s="13">
        <f t="shared" si="11"/>
        <v>2</v>
      </c>
      <c r="B124" s="14"/>
      <c r="C124" s="14" t="s">
        <v>200</v>
      </c>
      <c r="D124" s="15"/>
      <c r="E124" s="15"/>
      <c r="F124" s="13"/>
      <c r="G124" s="13" t="s">
        <v>65</v>
      </c>
      <c r="H124" s="13">
        <v>1</v>
      </c>
      <c r="I124" s="17">
        <v>350000</v>
      </c>
      <c r="J124" s="17"/>
      <c r="K124" s="14" t="s">
        <v>181</v>
      </c>
    </row>
    <row r="125" spans="1:11" ht="51" x14ac:dyDescent="0.2">
      <c r="A125" s="13">
        <f t="shared" si="11"/>
        <v>3</v>
      </c>
      <c r="B125" s="14"/>
      <c r="C125" s="14" t="s">
        <v>201</v>
      </c>
      <c r="D125" s="15"/>
      <c r="E125" s="15"/>
      <c r="F125" s="13"/>
      <c r="G125" s="13" t="s">
        <v>65</v>
      </c>
      <c r="H125" s="13">
        <v>1</v>
      </c>
      <c r="I125" s="17">
        <v>500000</v>
      </c>
      <c r="J125" s="17"/>
      <c r="K125" s="14" t="s">
        <v>181</v>
      </c>
    </row>
    <row r="126" spans="1:11" ht="18" x14ac:dyDescent="0.2">
      <c r="A126" s="11" t="s">
        <v>202</v>
      </c>
      <c r="B126" s="27"/>
      <c r="C126" s="27" t="s">
        <v>203</v>
      </c>
      <c r="D126" s="20"/>
      <c r="E126" s="20"/>
      <c r="F126" s="28"/>
      <c r="G126" s="28"/>
      <c r="H126" s="28"/>
      <c r="I126" s="29"/>
      <c r="J126" s="29"/>
      <c r="K126" s="26"/>
    </row>
    <row r="127" spans="1:11" ht="102" x14ac:dyDescent="0.2">
      <c r="A127" s="13">
        <f t="shared" ref="A127:A137" si="12">IF(G127&lt;&gt;0,COUNTA($G$140:G127),"")</f>
        <v>12</v>
      </c>
      <c r="B127" s="14"/>
      <c r="C127" s="14" t="s">
        <v>204</v>
      </c>
      <c r="D127" s="15"/>
      <c r="E127" s="15"/>
      <c r="F127" s="13"/>
      <c r="G127" s="13" t="s">
        <v>65</v>
      </c>
      <c r="H127" s="13">
        <v>1</v>
      </c>
      <c r="I127" s="17">
        <f>300000+15000+80000</f>
        <v>395000</v>
      </c>
      <c r="J127" s="17"/>
      <c r="K127" s="14" t="s">
        <v>205</v>
      </c>
    </row>
    <row r="128" spans="1:11" ht="102" x14ac:dyDescent="0.2">
      <c r="A128" s="13">
        <f t="shared" si="12"/>
        <v>11</v>
      </c>
      <c r="B128" s="14"/>
      <c r="C128" s="14" t="s">
        <v>206</v>
      </c>
      <c r="D128" s="15"/>
      <c r="E128" s="15"/>
      <c r="F128" s="13"/>
      <c r="G128" s="13" t="s">
        <v>65</v>
      </c>
      <c r="H128" s="13">
        <v>1</v>
      </c>
      <c r="I128" s="17">
        <f>380000+80000+15000</f>
        <v>475000</v>
      </c>
      <c r="J128" s="17"/>
      <c r="K128" s="14" t="s">
        <v>205</v>
      </c>
    </row>
    <row r="129" spans="1:11" ht="102" x14ac:dyDescent="0.2">
      <c r="A129" s="13">
        <f t="shared" si="12"/>
        <v>10</v>
      </c>
      <c r="B129" s="14"/>
      <c r="C129" s="14" t="s">
        <v>207</v>
      </c>
      <c r="D129" s="15"/>
      <c r="E129" s="15"/>
      <c r="F129" s="13"/>
      <c r="G129" s="13" t="s">
        <v>65</v>
      </c>
      <c r="H129" s="13">
        <v>1</v>
      </c>
      <c r="I129" s="17">
        <f>410000+15000+80000</f>
        <v>505000</v>
      </c>
      <c r="J129" s="17"/>
      <c r="K129" s="14" t="s">
        <v>205</v>
      </c>
    </row>
    <row r="130" spans="1:11" ht="102" x14ac:dyDescent="0.2">
      <c r="A130" s="13">
        <f t="shared" si="12"/>
        <v>9</v>
      </c>
      <c r="B130" s="14"/>
      <c r="C130" s="14" t="s">
        <v>208</v>
      </c>
      <c r="D130" s="15"/>
      <c r="E130" s="15"/>
      <c r="F130" s="13"/>
      <c r="G130" s="13" t="s">
        <v>65</v>
      </c>
      <c r="H130" s="13">
        <v>1</v>
      </c>
      <c r="I130" s="17">
        <f>1020000+80000</f>
        <v>1100000</v>
      </c>
      <c r="J130" s="17"/>
      <c r="K130" s="14" t="s">
        <v>209</v>
      </c>
    </row>
    <row r="131" spans="1:11" ht="51" x14ac:dyDescent="0.2">
      <c r="A131" s="13">
        <f t="shared" si="12"/>
        <v>8</v>
      </c>
      <c r="B131" s="14"/>
      <c r="C131" s="14" t="s">
        <v>210</v>
      </c>
      <c r="D131" s="15"/>
      <c r="E131" s="15"/>
      <c r="F131" s="13"/>
      <c r="G131" s="13" t="s">
        <v>65</v>
      </c>
      <c r="H131" s="13">
        <v>1</v>
      </c>
      <c r="I131" s="17">
        <f>1150000+25000+80000</f>
        <v>1255000</v>
      </c>
      <c r="J131" s="17"/>
      <c r="K131" s="14" t="s">
        <v>211</v>
      </c>
    </row>
    <row r="132" spans="1:11" ht="51" x14ac:dyDescent="0.2">
      <c r="A132" s="13">
        <f t="shared" si="12"/>
        <v>7</v>
      </c>
      <c r="B132" s="14"/>
      <c r="C132" s="14" t="s">
        <v>210</v>
      </c>
      <c r="D132" s="15"/>
      <c r="E132" s="15"/>
      <c r="F132" s="13"/>
      <c r="G132" s="13" t="s">
        <v>65</v>
      </c>
      <c r="H132" s="13">
        <v>1</v>
      </c>
      <c r="I132" s="17">
        <f>1400000+25000+80000</f>
        <v>1505000</v>
      </c>
      <c r="J132" s="17"/>
      <c r="K132" s="14" t="s">
        <v>212</v>
      </c>
    </row>
    <row r="133" spans="1:11" ht="102" x14ac:dyDescent="0.2">
      <c r="A133" s="13">
        <f t="shared" si="12"/>
        <v>6</v>
      </c>
      <c r="B133" s="14"/>
      <c r="C133" s="14" t="s">
        <v>213</v>
      </c>
      <c r="D133" s="15"/>
      <c r="E133" s="15"/>
      <c r="F133" s="13"/>
      <c r="G133" s="13" t="s">
        <v>65</v>
      </c>
      <c r="H133" s="13">
        <v>1</v>
      </c>
      <c r="I133" s="17">
        <f>1900000+130000+400000</f>
        <v>2430000</v>
      </c>
      <c r="J133" s="17"/>
      <c r="K133" s="14" t="s">
        <v>214</v>
      </c>
    </row>
    <row r="134" spans="1:11" ht="102" x14ac:dyDescent="0.2">
      <c r="A134" s="13">
        <f t="shared" si="12"/>
        <v>5</v>
      </c>
      <c r="B134" s="14"/>
      <c r="C134" s="14" t="s">
        <v>215</v>
      </c>
      <c r="D134" s="15"/>
      <c r="E134" s="15"/>
      <c r="F134" s="13"/>
      <c r="G134" s="13" t="s">
        <v>65</v>
      </c>
      <c r="H134" s="13">
        <v>1</v>
      </c>
      <c r="I134" s="17">
        <f>2700000+130000+400000</f>
        <v>3230000</v>
      </c>
      <c r="J134" s="17"/>
      <c r="K134" s="14" t="s">
        <v>216</v>
      </c>
    </row>
    <row r="135" spans="1:11" ht="34" x14ac:dyDescent="0.2">
      <c r="A135" s="13">
        <f t="shared" si="12"/>
        <v>4</v>
      </c>
      <c r="B135" s="14"/>
      <c r="C135" s="14" t="s">
        <v>217</v>
      </c>
      <c r="D135" s="15"/>
      <c r="E135" s="15"/>
      <c r="F135" s="13"/>
      <c r="G135" s="13" t="s">
        <v>26</v>
      </c>
      <c r="H135" s="13">
        <v>1</v>
      </c>
      <c r="I135" s="17">
        <v>250000</v>
      </c>
      <c r="J135" s="17"/>
      <c r="K135" s="14"/>
    </row>
    <row r="136" spans="1:11" ht="17" x14ac:dyDescent="0.2">
      <c r="A136" s="13">
        <f t="shared" si="12"/>
        <v>3</v>
      </c>
      <c r="B136" s="14"/>
      <c r="C136" s="14" t="s">
        <v>218</v>
      </c>
      <c r="D136" s="15"/>
      <c r="E136" s="15"/>
      <c r="F136" s="13"/>
      <c r="G136" s="13" t="s">
        <v>26</v>
      </c>
      <c r="H136" s="13">
        <v>1</v>
      </c>
      <c r="I136" s="17">
        <v>75000</v>
      </c>
      <c r="J136" s="17"/>
      <c r="K136" s="14"/>
    </row>
    <row r="137" spans="1:11" ht="51" x14ac:dyDescent="0.2">
      <c r="A137" s="13">
        <f t="shared" si="12"/>
        <v>2</v>
      </c>
      <c r="B137" s="14"/>
      <c r="C137" s="14" t="s">
        <v>219</v>
      </c>
      <c r="D137" s="15"/>
      <c r="E137" s="15"/>
      <c r="F137" s="13"/>
      <c r="G137" s="13" t="s">
        <v>26</v>
      </c>
      <c r="H137" s="13">
        <v>1</v>
      </c>
      <c r="I137" s="17">
        <v>80000</v>
      </c>
      <c r="J137" s="17"/>
      <c r="K137" s="14"/>
    </row>
    <row r="138" spans="1:11" ht="54" x14ac:dyDescent="0.2">
      <c r="A138" s="11" t="s">
        <v>220</v>
      </c>
      <c r="B138" s="27"/>
      <c r="C138" s="27" t="s">
        <v>221</v>
      </c>
      <c r="D138" s="20"/>
      <c r="E138" s="20"/>
      <c r="F138" s="28"/>
      <c r="G138" s="28"/>
      <c r="H138" s="28"/>
      <c r="I138" s="29"/>
      <c r="J138" s="29"/>
      <c r="K138" s="26"/>
    </row>
    <row r="139" spans="1:11" ht="54" x14ac:dyDescent="0.2">
      <c r="A139" s="13"/>
      <c r="B139" s="36"/>
      <c r="C139" s="36" t="s">
        <v>222</v>
      </c>
      <c r="D139" s="15"/>
      <c r="E139" s="15"/>
      <c r="F139" s="13"/>
      <c r="G139" s="13"/>
      <c r="H139" s="13"/>
      <c r="I139" s="17"/>
      <c r="J139" s="17"/>
      <c r="K139" s="14"/>
    </row>
    <row r="140" spans="1:11" ht="221" x14ac:dyDescent="0.2">
      <c r="A140" s="13">
        <f t="shared" ref="A140:A143" si="13">IF(G140&lt;&gt;0,COUNTA($G$153:G140),"")</f>
        <v>12</v>
      </c>
      <c r="B140" s="14"/>
      <c r="C140" s="14" t="s">
        <v>223</v>
      </c>
      <c r="D140" s="15"/>
      <c r="E140" s="15"/>
      <c r="F140" s="13"/>
      <c r="G140" s="13" t="s">
        <v>65</v>
      </c>
      <c r="H140" s="13">
        <v>1</v>
      </c>
      <c r="I140" s="17">
        <v>2100000</v>
      </c>
      <c r="J140" s="17"/>
      <c r="K140" s="14" t="s">
        <v>224</v>
      </c>
    </row>
    <row r="141" spans="1:11" ht="204" x14ac:dyDescent="0.2">
      <c r="A141" s="13">
        <f t="shared" si="13"/>
        <v>11</v>
      </c>
      <c r="B141" s="14"/>
      <c r="C141" s="14" t="s">
        <v>225</v>
      </c>
      <c r="D141" s="15"/>
      <c r="E141" s="15"/>
      <c r="F141" s="13"/>
      <c r="G141" s="13" t="s">
        <v>65</v>
      </c>
      <c r="H141" s="13">
        <v>1</v>
      </c>
      <c r="I141" s="17">
        <v>1900000</v>
      </c>
      <c r="J141" s="17"/>
      <c r="K141" s="14" t="s">
        <v>226</v>
      </c>
    </row>
    <row r="142" spans="1:11" ht="204" x14ac:dyDescent="0.2">
      <c r="A142" s="13">
        <f t="shared" si="13"/>
        <v>10</v>
      </c>
      <c r="B142" s="14"/>
      <c r="C142" s="14" t="s">
        <v>227</v>
      </c>
      <c r="D142" s="15"/>
      <c r="E142" s="15"/>
      <c r="F142" s="13"/>
      <c r="G142" s="13" t="s">
        <v>65</v>
      </c>
      <c r="H142" s="13">
        <v>1</v>
      </c>
      <c r="I142" s="17">
        <v>1950000</v>
      </c>
      <c r="J142" s="17"/>
      <c r="K142" s="14" t="s">
        <v>226</v>
      </c>
    </row>
    <row r="143" spans="1:11" ht="153" x14ac:dyDescent="0.2">
      <c r="A143" s="13">
        <f t="shared" si="13"/>
        <v>9</v>
      </c>
      <c r="B143" s="14"/>
      <c r="C143" s="14" t="s">
        <v>228</v>
      </c>
      <c r="D143" s="15"/>
      <c r="E143" s="15"/>
      <c r="F143" s="13"/>
      <c r="G143" s="13" t="s">
        <v>65</v>
      </c>
      <c r="H143" s="13">
        <v>1</v>
      </c>
      <c r="I143" s="17">
        <v>1200000</v>
      </c>
      <c r="J143" s="17"/>
      <c r="K143" s="14" t="s">
        <v>229</v>
      </c>
    </row>
    <row r="144" spans="1:11" ht="72" x14ac:dyDescent="0.2">
      <c r="A144" s="13"/>
      <c r="B144" s="36"/>
      <c r="C144" s="36" t="s">
        <v>230</v>
      </c>
      <c r="D144" s="15"/>
      <c r="E144" s="15"/>
      <c r="F144" s="13"/>
      <c r="G144" s="13"/>
      <c r="H144" s="13"/>
      <c r="I144" s="17"/>
      <c r="J144" s="17"/>
      <c r="K144" s="14"/>
    </row>
    <row r="145" spans="1:11" ht="272" x14ac:dyDescent="0.2">
      <c r="A145" s="13">
        <f t="shared" ref="A145:A148" si="14">IF(G145&lt;&gt;0,COUNTA($G$158:G145),"")</f>
        <v>12</v>
      </c>
      <c r="B145" s="14"/>
      <c r="C145" s="14" t="s">
        <v>223</v>
      </c>
      <c r="D145" s="15"/>
      <c r="E145" s="15"/>
      <c r="F145" s="13"/>
      <c r="G145" s="13" t="s">
        <v>65</v>
      </c>
      <c r="H145" s="13">
        <v>1</v>
      </c>
      <c r="I145" s="17">
        <v>2600000</v>
      </c>
      <c r="J145" s="17"/>
      <c r="K145" s="14" t="s">
        <v>231</v>
      </c>
    </row>
    <row r="146" spans="1:11" ht="272" x14ac:dyDescent="0.2">
      <c r="A146" s="13">
        <f t="shared" si="14"/>
        <v>11</v>
      </c>
      <c r="B146" s="14"/>
      <c r="C146" s="14" t="s">
        <v>225</v>
      </c>
      <c r="D146" s="15"/>
      <c r="E146" s="15"/>
      <c r="F146" s="13"/>
      <c r="G146" s="13" t="s">
        <v>65</v>
      </c>
      <c r="H146" s="13">
        <v>1</v>
      </c>
      <c r="I146" s="17">
        <v>2400000</v>
      </c>
      <c r="J146" s="17"/>
      <c r="K146" s="14" t="s">
        <v>232</v>
      </c>
    </row>
    <row r="147" spans="1:11" ht="272" x14ac:dyDescent="0.2">
      <c r="A147" s="13">
        <f t="shared" si="14"/>
        <v>10</v>
      </c>
      <c r="B147" s="14"/>
      <c r="C147" s="14" t="s">
        <v>227</v>
      </c>
      <c r="D147" s="15"/>
      <c r="E147" s="15"/>
      <c r="F147" s="13"/>
      <c r="G147" s="13" t="s">
        <v>65</v>
      </c>
      <c r="H147" s="13">
        <v>1</v>
      </c>
      <c r="I147" s="17">
        <v>2500000</v>
      </c>
      <c r="J147" s="17"/>
      <c r="K147" s="14" t="s">
        <v>231</v>
      </c>
    </row>
    <row r="148" spans="1:11" ht="187" x14ac:dyDescent="0.2">
      <c r="A148" s="13">
        <f t="shared" si="14"/>
        <v>9</v>
      </c>
      <c r="B148" s="14"/>
      <c r="C148" s="14" t="s">
        <v>228</v>
      </c>
      <c r="D148" s="15"/>
      <c r="E148" s="15"/>
      <c r="F148" s="13"/>
      <c r="G148" s="13" t="s">
        <v>65</v>
      </c>
      <c r="H148" s="13">
        <v>1</v>
      </c>
      <c r="I148" s="17">
        <v>1500000</v>
      </c>
      <c r="J148" s="17"/>
      <c r="K148" s="14" t="s">
        <v>233</v>
      </c>
    </row>
    <row r="149" spans="1:11" ht="72" x14ac:dyDescent="0.2">
      <c r="A149" s="13"/>
      <c r="B149" s="36"/>
      <c r="C149" s="36" t="s">
        <v>234</v>
      </c>
      <c r="D149" s="15"/>
      <c r="E149" s="15"/>
      <c r="F149" s="13"/>
      <c r="G149" s="13"/>
      <c r="H149" s="13"/>
      <c r="I149" s="17"/>
      <c r="J149" s="17"/>
      <c r="K149" s="14"/>
    </row>
    <row r="150" spans="1:11" ht="272" x14ac:dyDescent="0.2">
      <c r="A150" s="13">
        <f t="shared" ref="A150:A153" si="15">IF(G150&lt;&gt;0,COUNTA($G$163:G150),"")</f>
        <v>12</v>
      </c>
      <c r="B150" s="14"/>
      <c r="C150" s="14" t="s">
        <v>223</v>
      </c>
      <c r="D150" s="15"/>
      <c r="E150" s="15"/>
      <c r="F150" s="13"/>
      <c r="G150" s="13" t="s">
        <v>65</v>
      </c>
      <c r="H150" s="13">
        <v>1</v>
      </c>
      <c r="I150" s="17">
        <v>2800000</v>
      </c>
      <c r="J150" s="17"/>
      <c r="K150" s="14" t="s">
        <v>231</v>
      </c>
    </row>
    <row r="151" spans="1:11" ht="272" x14ac:dyDescent="0.2">
      <c r="A151" s="13">
        <f t="shared" si="15"/>
        <v>11</v>
      </c>
      <c r="B151" s="14"/>
      <c r="C151" s="14" t="s">
        <v>225</v>
      </c>
      <c r="D151" s="15"/>
      <c r="E151" s="15"/>
      <c r="F151" s="13"/>
      <c r="G151" s="13" t="s">
        <v>65</v>
      </c>
      <c r="H151" s="13">
        <v>1</v>
      </c>
      <c r="I151" s="17">
        <v>2600000</v>
      </c>
      <c r="J151" s="17"/>
      <c r="K151" s="14" t="s">
        <v>232</v>
      </c>
    </row>
    <row r="152" spans="1:11" ht="272" x14ac:dyDescent="0.2">
      <c r="A152" s="13">
        <f t="shared" si="15"/>
        <v>10</v>
      </c>
      <c r="B152" s="14"/>
      <c r="C152" s="14" t="s">
        <v>227</v>
      </c>
      <c r="D152" s="15"/>
      <c r="E152" s="15"/>
      <c r="F152" s="13"/>
      <c r="G152" s="13" t="s">
        <v>65</v>
      </c>
      <c r="H152" s="13">
        <v>1</v>
      </c>
      <c r="I152" s="17">
        <v>2700000</v>
      </c>
      <c r="J152" s="17"/>
      <c r="K152" s="14" t="s">
        <v>231</v>
      </c>
    </row>
    <row r="153" spans="1:11" ht="204" x14ac:dyDescent="0.2">
      <c r="A153" s="13">
        <f t="shared" si="15"/>
        <v>9</v>
      </c>
      <c r="B153" s="14"/>
      <c r="C153" s="14" t="s">
        <v>228</v>
      </c>
      <c r="D153" s="15"/>
      <c r="E153" s="15"/>
      <c r="F153" s="13"/>
      <c r="G153" s="13" t="s">
        <v>65</v>
      </c>
      <c r="H153" s="13">
        <v>1</v>
      </c>
      <c r="I153" s="17">
        <v>1700000</v>
      </c>
      <c r="J153" s="17"/>
      <c r="K153" s="14" t="s">
        <v>235</v>
      </c>
    </row>
    <row r="154" spans="1:11" ht="54" x14ac:dyDescent="0.2">
      <c r="A154" s="13"/>
      <c r="B154" s="36"/>
      <c r="C154" s="36" t="s">
        <v>236</v>
      </c>
      <c r="D154" s="15"/>
      <c r="E154" s="15"/>
      <c r="F154" s="13"/>
      <c r="G154" s="13"/>
      <c r="H154" s="13"/>
      <c r="I154" s="17"/>
      <c r="J154" s="17"/>
      <c r="K154" s="14"/>
    </row>
    <row r="155" spans="1:11" ht="119" x14ac:dyDescent="0.2">
      <c r="A155" s="13">
        <f t="shared" ref="A155:A161" si="16">IF(G155&lt;&gt;0,COUNTA($G$168:G155),"")</f>
        <v>13</v>
      </c>
      <c r="B155" s="14"/>
      <c r="C155" s="14" t="s">
        <v>237</v>
      </c>
      <c r="D155" s="15"/>
      <c r="E155" s="15"/>
      <c r="F155" s="13"/>
      <c r="G155" s="13" t="s">
        <v>65</v>
      </c>
      <c r="H155" s="13">
        <v>1</v>
      </c>
      <c r="I155" s="17">
        <v>800000</v>
      </c>
      <c r="J155" s="17"/>
      <c r="K155" s="14" t="s">
        <v>238</v>
      </c>
    </row>
    <row r="156" spans="1:11" ht="119" x14ac:dyDescent="0.2">
      <c r="A156" s="13">
        <f t="shared" si="16"/>
        <v>12</v>
      </c>
      <c r="B156" s="14"/>
      <c r="C156" s="14" t="s">
        <v>237</v>
      </c>
      <c r="D156" s="15"/>
      <c r="E156" s="15"/>
      <c r="F156" s="13"/>
      <c r="G156" s="13" t="s">
        <v>65</v>
      </c>
      <c r="H156" s="13">
        <v>1</v>
      </c>
      <c r="I156" s="17">
        <v>1200000</v>
      </c>
      <c r="J156" s="17"/>
      <c r="K156" s="14" t="s">
        <v>239</v>
      </c>
    </row>
    <row r="157" spans="1:11" ht="102" x14ac:dyDescent="0.2">
      <c r="A157" s="13">
        <f t="shared" si="16"/>
        <v>11</v>
      </c>
      <c r="B157" s="14"/>
      <c r="C157" s="14" t="s">
        <v>237</v>
      </c>
      <c r="D157" s="15"/>
      <c r="E157" s="15"/>
      <c r="F157" s="13"/>
      <c r="G157" s="13" t="s">
        <v>65</v>
      </c>
      <c r="H157" s="13">
        <v>1</v>
      </c>
      <c r="I157" s="17">
        <v>1800000</v>
      </c>
      <c r="J157" s="17"/>
      <c r="K157" s="14" t="s">
        <v>240</v>
      </c>
    </row>
    <row r="158" spans="1:11" ht="102" x14ac:dyDescent="0.2">
      <c r="A158" s="13">
        <f t="shared" si="16"/>
        <v>10</v>
      </c>
      <c r="B158" s="14"/>
      <c r="C158" s="14" t="s">
        <v>241</v>
      </c>
      <c r="D158" s="15"/>
      <c r="E158" s="15"/>
      <c r="F158" s="13"/>
      <c r="G158" s="13" t="s">
        <v>242</v>
      </c>
      <c r="H158" s="13">
        <v>1</v>
      </c>
      <c r="I158" s="17">
        <v>2400000</v>
      </c>
      <c r="J158" s="17"/>
      <c r="K158" s="14" t="s">
        <v>243</v>
      </c>
    </row>
    <row r="159" spans="1:11" ht="102" x14ac:dyDescent="0.2">
      <c r="A159" s="13">
        <f t="shared" si="16"/>
        <v>9</v>
      </c>
      <c r="B159" s="14"/>
      <c r="C159" s="14" t="s">
        <v>241</v>
      </c>
      <c r="D159" s="15"/>
      <c r="E159" s="15"/>
      <c r="F159" s="13"/>
      <c r="G159" s="13" t="s">
        <v>242</v>
      </c>
      <c r="H159" s="13">
        <v>1</v>
      </c>
      <c r="I159" s="17">
        <v>3800000</v>
      </c>
      <c r="J159" s="17"/>
      <c r="K159" s="14" t="s">
        <v>244</v>
      </c>
    </row>
    <row r="160" spans="1:11" ht="119" x14ac:dyDescent="0.2">
      <c r="A160" s="13">
        <f t="shared" si="16"/>
        <v>8</v>
      </c>
      <c r="B160" s="14"/>
      <c r="C160" s="14" t="s">
        <v>245</v>
      </c>
      <c r="D160" s="15"/>
      <c r="E160" s="15"/>
      <c r="F160" s="13"/>
      <c r="G160" s="13" t="s">
        <v>242</v>
      </c>
      <c r="H160" s="13">
        <v>1</v>
      </c>
      <c r="I160" s="17">
        <v>3900000</v>
      </c>
      <c r="J160" s="17"/>
      <c r="K160" s="14" t="s">
        <v>243</v>
      </c>
    </row>
    <row r="161" spans="1:11" ht="119" x14ac:dyDescent="0.2">
      <c r="A161" s="13">
        <f t="shared" si="16"/>
        <v>7</v>
      </c>
      <c r="B161" s="14"/>
      <c r="C161" s="14" t="s">
        <v>245</v>
      </c>
      <c r="D161" s="15"/>
      <c r="E161" s="15"/>
      <c r="F161" s="13"/>
      <c r="G161" s="13" t="s">
        <v>242</v>
      </c>
      <c r="H161" s="13">
        <v>1</v>
      </c>
      <c r="I161" s="17">
        <v>5500000</v>
      </c>
      <c r="J161" s="17"/>
      <c r="K161" s="14" t="s">
        <v>244</v>
      </c>
    </row>
    <row r="162" spans="1:11" ht="108" x14ac:dyDescent="0.2">
      <c r="A162" s="13"/>
      <c r="B162" s="36"/>
      <c r="C162" s="36" t="s">
        <v>246</v>
      </c>
      <c r="D162" s="15"/>
      <c r="E162" s="15"/>
      <c r="F162" s="13"/>
      <c r="G162" s="13"/>
      <c r="H162" s="13"/>
      <c r="I162" s="17"/>
      <c r="J162" s="17"/>
      <c r="K162" s="14"/>
    </row>
    <row r="163" spans="1:11" ht="153" x14ac:dyDescent="0.2">
      <c r="A163" s="13">
        <f t="shared" ref="A163:A170" si="17">IF(G163&lt;&gt;0,COUNTA($G$176:G163),"")</f>
        <v>13</v>
      </c>
      <c r="B163" s="14"/>
      <c r="C163" s="14" t="s">
        <v>247</v>
      </c>
      <c r="D163" s="15"/>
      <c r="E163" s="15"/>
      <c r="F163" s="13"/>
      <c r="G163" s="13" t="s">
        <v>26</v>
      </c>
      <c r="H163" s="13">
        <v>1</v>
      </c>
      <c r="I163" s="17">
        <v>850000</v>
      </c>
      <c r="J163" s="17"/>
      <c r="K163" s="14" t="s">
        <v>248</v>
      </c>
    </row>
    <row r="164" spans="1:11" ht="153" x14ac:dyDescent="0.2">
      <c r="A164" s="13">
        <f t="shared" si="17"/>
        <v>12</v>
      </c>
      <c r="B164" s="14"/>
      <c r="C164" s="14" t="s">
        <v>247</v>
      </c>
      <c r="D164" s="15"/>
      <c r="E164" s="15"/>
      <c r="F164" s="13"/>
      <c r="G164" s="13" t="s">
        <v>26</v>
      </c>
      <c r="H164" s="13">
        <v>1</v>
      </c>
      <c r="I164" s="17">
        <v>1300000</v>
      </c>
      <c r="J164" s="17"/>
      <c r="K164" s="14" t="s">
        <v>249</v>
      </c>
    </row>
    <row r="165" spans="1:11" ht="153" x14ac:dyDescent="0.2">
      <c r="A165" s="13">
        <f t="shared" si="17"/>
        <v>11</v>
      </c>
      <c r="B165" s="14"/>
      <c r="C165" s="14" t="s">
        <v>250</v>
      </c>
      <c r="D165" s="15"/>
      <c r="E165" s="15"/>
      <c r="F165" s="13"/>
      <c r="G165" s="13" t="s">
        <v>26</v>
      </c>
      <c r="H165" s="13">
        <v>1</v>
      </c>
      <c r="I165" s="17">
        <v>1200000</v>
      </c>
      <c r="J165" s="17"/>
      <c r="K165" s="14" t="s">
        <v>251</v>
      </c>
    </row>
    <row r="166" spans="1:11" ht="153" x14ac:dyDescent="0.2">
      <c r="A166" s="13">
        <f t="shared" si="17"/>
        <v>10</v>
      </c>
      <c r="B166" s="14"/>
      <c r="C166" s="14" t="s">
        <v>250</v>
      </c>
      <c r="D166" s="15"/>
      <c r="E166" s="15"/>
      <c r="F166" s="13"/>
      <c r="G166" s="13" t="s">
        <v>26</v>
      </c>
      <c r="H166" s="13">
        <v>1</v>
      </c>
      <c r="I166" s="17">
        <v>1750000</v>
      </c>
      <c r="J166" s="17"/>
      <c r="K166" s="14" t="s">
        <v>249</v>
      </c>
    </row>
    <row r="167" spans="1:11" ht="153" x14ac:dyDescent="0.2">
      <c r="A167" s="13">
        <f t="shared" si="17"/>
        <v>9</v>
      </c>
      <c r="B167" s="14"/>
      <c r="C167" s="14" t="s">
        <v>252</v>
      </c>
      <c r="D167" s="15"/>
      <c r="E167" s="15"/>
      <c r="F167" s="13"/>
      <c r="G167" s="13" t="s">
        <v>26</v>
      </c>
      <c r="H167" s="13">
        <v>1</v>
      </c>
      <c r="I167" s="17">
        <v>1200000</v>
      </c>
      <c r="J167" s="17"/>
      <c r="K167" s="14" t="s">
        <v>253</v>
      </c>
    </row>
    <row r="168" spans="1:11" ht="51" x14ac:dyDescent="0.2">
      <c r="A168" s="13">
        <f t="shared" si="17"/>
        <v>8</v>
      </c>
      <c r="B168" s="14"/>
      <c r="C168" s="14" t="s">
        <v>254</v>
      </c>
      <c r="D168" s="15"/>
      <c r="E168" s="15"/>
      <c r="F168" s="13"/>
      <c r="G168" s="13" t="s">
        <v>26</v>
      </c>
      <c r="H168" s="13">
        <v>1</v>
      </c>
      <c r="I168" s="35" t="s">
        <v>255</v>
      </c>
      <c r="J168" s="17"/>
      <c r="K168" s="14" t="s">
        <v>256</v>
      </c>
    </row>
    <row r="169" spans="1:11" ht="51" x14ac:dyDescent="0.2">
      <c r="A169" s="13">
        <f t="shared" si="17"/>
        <v>7</v>
      </c>
      <c r="B169" s="14"/>
      <c r="C169" s="14" t="s">
        <v>257</v>
      </c>
      <c r="D169" s="15"/>
      <c r="E169" s="15"/>
      <c r="F169" s="13"/>
      <c r="G169" s="13" t="s">
        <v>26</v>
      </c>
      <c r="H169" s="13">
        <v>1</v>
      </c>
      <c r="I169" s="17">
        <v>550000</v>
      </c>
      <c r="J169" s="17"/>
      <c r="K169" s="14" t="s">
        <v>258</v>
      </c>
    </row>
    <row r="170" spans="1:11" ht="68" x14ac:dyDescent="0.2">
      <c r="A170" s="13">
        <f t="shared" si="17"/>
        <v>6</v>
      </c>
      <c r="B170" s="14"/>
      <c r="C170" s="14" t="s">
        <v>259</v>
      </c>
      <c r="D170" s="15"/>
      <c r="E170" s="15"/>
      <c r="F170" s="13"/>
      <c r="G170" s="13" t="s">
        <v>26</v>
      </c>
      <c r="H170" s="13">
        <v>1</v>
      </c>
      <c r="I170" s="17">
        <v>380000</v>
      </c>
      <c r="J170" s="17"/>
      <c r="K170" s="14"/>
    </row>
    <row r="171" spans="1:11" ht="36" x14ac:dyDescent="0.2">
      <c r="A171" s="11" t="s">
        <v>220</v>
      </c>
      <c r="B171" s="27"/>
      <c r="C171" s="27" t="s">
        <v>260</v>
      </c>
      <c r="D171" s="20"/>
      <c r="E171" s="20"/>
      <c r="F171" s="28"/>
      <c r="G171" s="28"/>
      <c r="H171" s="28"/>
      <c r="I171" s="29"/>
      <c r="J171" s="29"/>
      <c r="K171" s="26"/>
    </row>
    <row r="172" spans="1:11" ht="68" x14ac:dyDescent="0.2">
      <c r="A172" s="13">
        <f t="shared" ref="A172:A178" si="18">IF(G172&lt;&gt;0,COUNTA($G$185:G172),"")</f>
        <v>7</v>
      </c>
      <c r="B172" s="14"/>
      <c r="C172" s="14" t="s">
        <v>261</v>
      </c>
      <c r="D172" s="15"/>
      <c r="E172" s="15"/>
      <c r="F172" s="13"/>
      <c r="G172" s="13" t="s">
        <v>65</v>
      </c>
      <c r="H172" s="13">
        <v>1</v>
      </c>
      <c r="I172" s="17">
        <v>4300000</v>
      </c>
      <c r="J172" s="17"/>
      <c r="K172" s="14" t="s">
        <v>262</v>
      </c>
    </row>
    <row r="173" spans="1:11" ht="51" x14ac:dyDescent="0.2">
      <c r="A173" s="13">
        <f t="shared" si="18"/>
        <v>6</v>
      </c>
      <c r="B173" s="14"/>
      <c r="C173" s="14" t="s">
        <v>263</v>
      </c>
      <c r="D173" s="15"/>
      <c r="E173" s="15"/>
      <c r="F173" s="13"/>
      <c r="G173" s="13" t="s">
        <v>65</v>
      </c>
      <c r="H173" s="13">
        <v>1</v>
      </c>
      <c r="I173" s="17">
        <v>2550000</v>
      </c>
      <c r="J173" s="17"/>
      <c r="K173" s="14" t="s">
        <v>264</v>
      </c>
    </row>
    <row r="174" spans="1:11" ht="51" x14ac:dyDescent="0.2">
      <c r="A174" s="13">
        <f t="shared" si="18"/>
        <v>5</v>
      </c>
      <c r="B174" s="14"/>
      <c r="C174" s="14" t="s">
        <v>263</v>
      </c>
      <c r="D174" s="15"/>
      <c r="E174" s="15"/>
      <c r="F174" s="13"/>
      <c r="G174" s="13" t="s">
        <v>65</v>
      </c>
      <c r="H174" s="13">
        <v>1</v>
      </c>
      <c r="I174" s="17">
        <v>1980000</v>
      </c>
      <c r="J174" s="17"/>
      <c r="K174" s="14" t="s">
        <v>265</v>
      </c>
    </row>
    <row r="175" spans="1:11" ht="51" x14ac:dyDescent="0.2">
      <c r="A175" s="13">
        <f t="shared" si="18"/>
        <v>4</v>
      </c>
      <c r="B175" s="14"/>
      <c r="C175" s="14" t="s">
        <v>266</v>
      </c>
      <c r="D175" s="15"/>
      <c r="E175" s="15"/>
      <c r="F175" s="13"/>
      <c r="G175" s="13" t="s">
        <v>29</v>
      </c>
      <c r="H175" s="13">
        <v>1</v>
      </c>
      <c r="I175" s="17">
        <v>9200000</v>
      </c>
      <c r="J175" s="17"/>
      <c r="K175" s="14" t="s">
        <v>267</v>
      </c>
    </row>
    <row r="176" spans="1:11" ht="51" x14ac:dyDescent="0.2">
      <c r="A176" s="13">
        <f t="shared" si="18"/>
        <v>3</v>
      </c>
      <c r="B176" s="14"/>
      <c r="C176" s="14" t="s">
        <v>266</v>
      </c>
      <c r="D176" s="15"/>
      <c r="E176" s="15"/>
      <c r="F176" s="13"/>
      <c r="G176" s="13" t="s">
        <v>29</v>
      </c>
      <c r="H176" s="13">
        <v>1</v>
      </c>
      <c r="I176" s="17">
        <v>5500000</v>
      </c>
      <c r="J176" s="17"/>
      <c r="K176" s="14" t="s">
        <v>268</v>
      </c>
    </row>
    <row r="177" spans="1:11" ht="34" x14ac:dyDescent="0.2">
      <c r="A177" s="13">
        <f t="shared" si="18"/>
        <v>2</v>
      </c>
      <c r="B177" s="14"/>
      <c r="C177" s="14" t="s">
        <v>269</v>
      </c>
      <c r="D177" s="15"/>
      <c r="E177" s="15"/>
      <c r="F177" s="13"/>
      <c r="G177" s="13" t="s">
        <v>29</v>
      </c>
      <c r="H177" s="13">
        <v>1</v>
      </c>
      <c r="I177" s="17">
        <v>4375000</v>
      </c>
      <c r="J177" s="17"/>
      <c r="K177" s="14" t="s">
        <v>270</v>
      </c>
    </row>
    <row r="178" spans="1:11" ht="51" x14ac:dyDescent="0.2">
      <c r="A178" s="13">
        <f t="shared" si="18"/>
        <v>1</v>
      </c>
      <c r="B178" s="14"/>
      <c r="C178" s="14" t="s">
        <v>269</v>
      </c>
      <c r="D178" s="15"/>
      <c r="E178" s="15"/>
      <c r="F178" s="13"/>
      <c r="G178" s="13" t="s">
        <v>29</v>
      </c>
      <c r="H178" s="13">
        <v>1</v>
      </c>
      <c r="I178" s="17">
        <v>4000000</v>
      </c>
      <c r="J178" s="17"/>
      <c r="K178" s="14" t="s">
        <v>271</v>
      </c>
    </row>
  </sheetData>
  <mergeCells count="9">
    <mergeCell ref="I1:I2"/>
    <mergeCell ref="J1:J2"/>
    <mergeCell ref="K1:K2"/>
    <mergeCell ref="A1:A2"/>
    <mergeCell ref="B1:B2"/>
    <mergeCell ref="C1:C2"/>
    <mergeCell ref="D1:F1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2026-09-07T04:40:23Z</dcterms:created>
  <dcterms:modified xsi:type="dcterms:W3CDTF">2026-09-07T04:40:32Z</dcterms:modified>
</cp:coreProperties>
</file>